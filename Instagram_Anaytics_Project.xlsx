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a1091c3f070f19c7/Documents/"/>
    </mc:Choice>
  </mc:AlternateContent>
  <xr:revisionPtr revIDLastSave="557" documentId="8_{8D4DEDF0-B28D-4DEA-AB50-D40A4CDDBC93}" xr6:coauthVersionLast="47" xr6:coauthVersionMax="47" xr10:uidLastSave="{A4BE9A04-761E-4DC8-B260-B0EC753C66A9}"/>
  <bookViews>
    <workbookView xWindow="-110" yWindow="-110" windowWidth="38620" windowHeight="21820" xr2:uid="{FC001D52-31E7-4958-8E28-30665FC324BB}"/>
  </bookViews>
  <sheets>
    <sheet name="performancy by category" sheetId="4" r:id="rId1"/>
    <sheet name="Reels vs Carousel" sheetId="5" r:id="rId2"/>
    <sheet name="followers gained" sheetId="6" r:id="rId3"/>
    <sheet name="monthly reach" sheetId="22" r:id="rId4"/>
    <sheet name="Data" sheetId="1" r:id="rId5"/>
    <sheet name="Dashboard" sheetId="7" r:id="rId6"/>
    <sheet name="Recommendation" sheetId="8" r:id="rId7"/>
  </sheets>
  <definedNames>
    <definedName name="_xlcn.WorksheetConnection_Instagram_Anaytics_Project.xlsxinstagram1" hidden="1">instagram[]</definedName>
    <definedName name="_xlcn.WorksheetConnection_Instagram_Anaytics_Project.xlsxinstagrammonth1" hidden="1">instagram[month]</definedName>
  </definedNames>
  <calcPr calcId="191029"/>
  <pivotCaches>
    <pivotCache cacheId="54" r:id="rId8"/>
    <pivotCache cacheId="34" r:id="rId9"/>
    <pivotCache cacheId="97" r:id="rId1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stagram" name="instagram" connection="WorksheetConnection_Instagram_Anaytics_Project.xlsx!instagram"/>
          <x15:modelTable id="instagram month" name="instagram month" connection="WorksheetConnection_Instagram_Anaytics_Project.xlsx!instagram[month]"/>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31" i="1" l="1"/>
  <c r="N29" i="1"/>
  <c r="N30" i="1"/>
  <c r="N27" i="1"/>
  <c r="N28" i="1"/>
  <c r="N25" i="1"/>
  <c r="N26" i="1"/>
  <c r="N24" i="1"/>
  <c r="N23" i="1"/>
  <c r="N22" i="1"/>
  <c r="N21" i="1"/>
  <c r="N20" i="1"/>
  <c r="N19" i="1"/>
  <c r="N18" i="1"/>
  <c r="N17" i="1"/>
  <c r="N16" i="1"/>
  <c r="N15" i="1"/>
  <c r="N14" i="1"/>
  <c r="N13" i="1"/>
  <c r="N12" i="1"/>
  <c r="N11" i="1"/>
  <c r="N10" i="1"/>
  <c r="N9" i="1"/>
  <c r="N8" i="1"/>
  <c r="N7" i="1"/>
  <c r="N6" i="1"/>
  <c r="N5" i="1"/>
  <c r="N4" i="1"/>
  <c r="N3" i="1"/>
  <c r="N2" i="1"/>
  <c r="M29" i="1"/>
  <c r="M30" i="1"/>
  <c r="M27" i="1"/>
  <c r="M28" i="1"/>
  <c r="M25" i="1"/>
  <c r="M26" i="1"/>
  <c r="M24" i="1"/>
  <c r="M23" i="1"/>
  <c r="M22" i="1"/>
  <c r="M21" i="1"/>
  <c r="M20" i="1"/>
  <c r="M19" i="1"/>
  <c r="M18" i="1"/>
  <c r="M17" i="1"/>
  <c r="M16" i="1"/>
  <c r="M15" i="1"/>
  <c r="M14" i="1"/>
  <c r="M13" i="1"/>
  <c r="M12" i="1"/>
  <c r="M11" i="1"/>
  <c r="M10" i="1"/>
  <c r="M9" i="1"/>
  <c r="M8" i="1"/>
  <c r="M7" i="1"/>
  <c r="M6" i="1"/>
  <c r="M5" i="1"/>
  <c r="M4" i="1"/>
  <c r="M3" i="1"/>
  <c r="M2" i="1"/>
  <c r="M3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5B4182-077F-4F91-9B6D-E128E33518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3FD1ED8-C432-457E-8871-2B85A4B0569E}" name="WorksheetConnection_Instagram_Anaytics_Project.xlsx!instagram" type="102" refreshedVersion="8" minRefreshableVersion="5">
    <extLst>
      <ext xmlns:x15="http://schemas.microsoft.com/office/spreadsheetml/2010/11/main" uri="{DE250136-89BD-433C-8126-D09CA5730AF9}">
        <x15:connection id="instagram" autoDelete="1">
          <x15:rangePr sourceName="_xlcn.WorksheetConnection_Instagram_Anaytics_Project.xlsxinstagram1"/>
        </x15:connection>
      </ext>
    </extLst>
  </connection>
  <connection id="3" xr16:uid="{AE23C7A5-50AA-44F2-93CE-0DFB9439A797}" name="WorksheetConnection_Instagram_Anaytics_Project.xlsx!instagram[month]" type="102" refreshedVersion="8" minRefreshableVersion="5">
    <extLst>
      <ext xmlns:x15="http://schemas.microsoft.com/office/spreadsheetml/2010/11/main" uri="{DE250136-89BD-433C-8126-D09CA5730AF9}">
        <x15:connection id="instagram month" autoDelete="1">
          <x15:rangePr sourceName="_xlcn.WorksheetConnection_Instagram_Anaytics_Project.xlsxinstagrammonth1"/>
        </x15:connection>
      </ext>
    </extLst>
  </connection>
</connections>
</file>

<file path=xl/sharedStrings.xml><?xml version="1.0" encoding="utf-8"?>
<sst xmlns="http://schemas.openxmlformats.org/spreadsheetml/2006/main" count="132" uniqueCount="59">
  <si>
    <t>Post Date</t>
  </si>
  <si>
    <t>Post Type</t>
  </si>
  <si>
    <t>Likes</t>
  </si>
  <si>
    <t>Comments</t>
  </si>
  <si>
    <t>Saves</t>
  </si>
  <si>
    <t xml:space="preserve">Shares </t>
  </si>
  <si>
    <t>Reach</t>
  </si>
  <si>
    <t>Impressions</t>
  </si>
  <si>
    <t>category</t>
  </si>
  <si>
    <t>Reel</t>
  </si>
  <si>
    <t>Reposts</t>
  </si>
  <si>
    <t>Profile Visits</t>
  </si>
  <si>
    <t>Follows</t>
  </si>
  <si>
    <t>eid</t>
  </si>
  <si>
    <t>Eid</t>
  </si>
  <si>
    <t>styling</t>
  </si>
  <si>
    <t>outfit</t>
  </si>
  <si>
    <t>valentines</t>
  </si>
  <si>
    <t xml:space="preserve">Carousel </t>
  </si>
  <si>
    <t>lifestyle</t>
  </si>
  <si>
    <t>family</t>
  </si>
  <si>
    <t>reel</t>
  </si>
  <si>
    <t>new year</t>
  </si>
  <si>
    <t>Engagement Rate</t>
  </si>
  <si>
    <t>Row Labels</t>
  </si>
  <si>
    <t>Grand Total</t>
  </si>
  <si>
    <t>Sum of Reach</t>
  </si>
  <si>
    <t>Average of Engagement Rate</t>
  </si>
  <si>
    <t>Sum of Follows</t>
  </si>
  <si>
    <t xml:space="preserve">Finding </t>
  </si>
  <si>
    <t>Recommendation</t>
  </si>
  <si>
    <t>Expected Impact</t>
  </si>
  <si>
    <t>Reels generated the highest reach</t>
  </si>
  <si>
    <t>Carousel posts had Higher Engagement</t>
  </si>
  <si>
    <t xml:space="preserve">Lifestyle Content gained the most followers </t>
  </si>
  <si>
    <t xml:space="preserve">Eid content performed strongly </t>
  </si>
  <si>
    <t>Outfit and styling posts had lower reach</t>
  </si>
  <si>
    <t>increase the proportion of Reel Content</t>
  </si>
  <si>
    <t>Use carousels for educational and detailed content</t>
  </si>
  <si>
    <t>Produce more lifestyle focused content</t>
  </si>
  <si>
    <t>Continue seasonal campaigns</t>
  </si>
  <si>
    <t xml:space="preserve">test new formats or posting times </t>
  </si>
  <si>
    <t>Higher audience Reach</t>
  </si>
  <si>
    <t xml:space="preserve">Improved Engagement </t>
  </si>
  <si>
    <t>Increased Followe Growth</t>
  </si>
  <si>
    <t xml:space="preserve">Higher reach and engagemnet </t>
  </si>
  <si>
    <t>better content performance</t>
  </si>
  <si>
    <t>Overall Conclusion</t>
  </si>
  <si>
    <t xml:space="preserve">The analysis shows that Reels are he most effective format for maximizing reach, while carousel posts generate stronger engagement. Seasonal anf Lifestyle content consistency outperform other categorieas and should be prioritized in furure content strategies </t>
  </si>
  <si>
    <t>month</t>
  </si>
  <si>
    <t>Apr-26</t>
  </si>
  <si>
    <t>Dec-25</t>
  </si>
  <si>
    <t>Feb-26</t>
  </si>
  <si>
    <t>Jan-26</t>
  </si>
  <si>
    <t>Jun-26</t>
  </si>
  <si>
    <t>May-26</t>
  </si>
  <si>
    <t>Nov-25</t>
  </si>
  <si>
    <t>Sum of Sum of Reach</t>
  </si>
  <si>
    <t>Average of Average of Engagement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</si>
</sst>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3"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NumberFormat="1"/>
  </cellXfs>
  <cellStyles count="1">
    <cellStyle name="Normal" xfId="0" builtinId="0"/>
  </cellStyles>
  <dxfs count="5">
    <dxf>
      <numFmt numFmtId="0" formatCode="General"/>
    </dxf>
    <dxf>
      <numFmt numFmtId="3" formatCode="#,##0"/>
    </dxf>
    <dxf>
      <numFmt numFmtId="3" formatCode="#,##0"/>
    </dxf>
    <dxf>
      <numFmt numFmtId="19" formatCode="dd/mm/yyyy"/>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[Instagram_Anaytics_Project.xlsx]performancy by 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Content performance By Category - Reach Vs Engagement Rate</a:t>
            </a:r>
          </a:p>
        </c:rich>
      </c:tx>
      <c:layout>
        <c:manualLayout>
          <c:xMode val="edge"/>
          <c:yMode val="edge"/>
          <c:x val="0.1533403324584427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1"/>
          <c:tx>
            <c:strRef>
              <c:f>'performancy by category'!$C$3</c:f>
              <c:strCache>
                <c:ptCount val="1"/>
                <c:pt idx="0">
                  <c:v>Average of Engagement Rate</c:v>
                </c:pt>
              </c:strCache>
            </c:strRef>
          </c:tx>
          <c:spPr>
            <a:solidFill>
              <a:schemeClr val="accent2"/>
            </a:solidFill>
            <a:ln>
              <a:noFill/>
            </a:ln>
            <a:effectLst/>
          </c:spPr>
          <c:invertIfNegative val="0"/>
          <c:cat>
            <c:strRef>
              <c:f>'performancy by category'!$A$4:$A$11</c:f>
              <c:strCache>
                <c:ptCount val="7"/>
                <c:pt idx="0">
                  <c:v>eid</c:v>
                </c:pt>
                <c:pt idx="1">
                  <c:v>family</c:v>
                </c:pt>
                <c:pt idx="2">
                  <c:v>lifestyle</c:v>
                </c:pt>
                <c:pt idx="3">
                  <c:v>new year</c:v>
                </c:pt>
                <c:pt idx="4">
                  <c:v>outfit</c:v>
                </c:pt>
                <c:pt idx="5">
                  <c:v>styling</c:v>
                </c:pt>
                <c:pt idx="6">
                  <c:v>valentines</c:v>
                </c:pt>
              </c:strCache>
            </c:strRef>
          </c:cat>
          <c:val>
            <c:numRef>
              <c:f>'performancy by category'!$C$4:$C$11</c:f>
              <c:numCache>
                <c:formatCode>General</c:formatCode>
                <c:ptCount val="7"/>
                <c:pt idx="0">
                  <c:v>13.667326300404696</c:v>
                </c:pt>
                <c:pt idx="1">
                  <c:v>8.4106969780130019</c:v>
                </c:pt>
                <c:pt idx="2">
                  <c:v>9.376539062713741</c:v>
                </c:pt>
                <c:pt idx="3">
                  <c:v>10.387887578046236</c:v>
                </c:pt>
                <c:pt idx="4">
                  <c:v>9.0933983473206723</c:v>
                </c:pt>
                <c:pt idx="5">
                  <c:v>5.8672580899118953</c:v>
                </c:pt>
                <c:pt idx="6">
                  <c:v>14.548292006242413</c:v>
                </c:pt>
              </c:numCache>
            </c:numRef>
          </c:val>
          <c:extLst>
            <c:ext xmlns:c16="http://schemas.microsoft.com/office/drawing/2014/chart" uri="{C3380CC4-5D6E-409C-BE32-E72D297353CC}">
              <c16:uniqueId val="{00000001-8FC2-4A9A-BE34-0F9902D76344}"/>
            </c:ext>
          </c:extLst>
        </c:ser>
        <c:dLbls>
          <c:showLegendKey val="0"/>
          <c:showVal val="0"/>
          <c:showCatName val="0"/>
          <c:showSerName val="0"/>
          <c:showPercent val="0"/>
          <c:showBubbleSize val="0"/>
        </c:dLbls>
        <c:gapWidth val="182"/>
        <c:axId val="1867930304"/>
        <c:axId val="1867930784"/>
      </c:barChart>
      <c:barChart>
        <c:barDir val="bar"/>
        <c:grouping val="clustered"/>
        <c:varyColors val="0"/>
        <c:ser>
          <c:idx val="0"/>
          <c:order val="0"/>
          <c:tx>
            <c:strRef>
              <c:f>'performancy by category'!$B$3</c:f>
              <c:strCache>
                <c:ptCount val="1"/>
                <c:pt idx="0">
                  <c:v>Sum of Reach</c:v>
                </c:pt>
              </c:strCache>
            </c:strRef>
          </c:tx>
          <c:spPr>
            <a:solidFill>
              <a:schemeClr val="accent1"/>
            </a:solidFill>
            <a:ln>
              <a:noFill/>
            </a:ln>
            <a:effectLst/>
          </c:spPr>
          <c:invertIfNegative val="0"/>
          <c:cat>
            <c:strRef>
              <c:f>'performancy by category'!$A$4:$A$11</c:f>
              <c:strCache>
                <c:ptCount val="7"/>
                <c:pt idx="0">
                  <c:v>eid</c:v>
                </c:pt>
                <c:pt idx="1">
                  <c:v>family</c:v>
                </c:pt>
                <c:pt idx="2">
                  <c:v>lifestyle</c:v>
                </c:pt>
                <c:pt idx="3">
                  <c:v>new year</c:v>
                </c:pt>
                <c:pt idx="4">
                  <c:v>outfit</c:v>
                </c:pt>
                <c:pt idx="5">
                  <c:v>styling</c:v>
                </c:pt>
                <c:pt idx="6">
                  <c:v>valentines</c:v>
                </c:pt>
              </c:strCache>
            </c:strRef>
          </c:cat>
          <c:val>
            <c:numRef>
              <c:f>'performancy by category'!$B$4:$B$11</c:f>
              <c:numCache>
                <c:formatCode>General</c:formatCode>
                <c:ptCount val="7"/>
                <c:pt idx="0">
                  <c:v>273140</c:v>
                </c:pt>
                <c:pt idx="1">
                  <c:v>29635</c:v>
                </c:pt>
                <c:pt idx="2">
                  <c:v>153623</c:v>
                </c:pt>
                <c:pt idx="3">
                  <c:v>12604</c:v>
                </c:pt>
                <c:pt idx="4">
                  <c:v>46880</c:v>
                </c:pt>
                <c:pt idx="5">
                  <c:v>28221</c:v>
                </c:pt>
                <c:pt idx="6">
                  <c:v>5767</c:v>
                </c:pt>
              </c:numCache>
            </c:numRef>
          </c:val>
          <c:extLst>
            <c:ext xmlns:c16="http://schemas.microsoft.com/office/drawing/2014/chart" uri="{C3380CC4-5D6E-409C-BE32-E72D297353CC}">
              <c16:uniqueId val="{00000000-8FC2-4A9A-BE34-0F9902D76344}"/>
            </c:ext>
          </c:extLst>
        </c:ser>
        <c:dLbls>
          <c:showLegendKey val="0"/>
          <c:showVal val="0"/>
          <c:showCatName val="0"/>
          <c:showSerName val="0"/>
          <c:showPercent val="0"/>
          <c:showBubbleSize val="0"/>
        </c:dLbls>
        <c:gapWidth val="182"/>
        <c:axId val="1592257296"/>
        <c:axId val="1592266416"/>
      </c:barChart>
      <c:catAx>
        <c:axId val="1867930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930784"/>
        <c:crosses val="autoZero"/>
        <c:auto val="1"/>
        <c:lblAlgn val="ctr"/>
        <c:lblOffset val="100"/>
        <c:noMultiLvlLbl val="0"/>
      </c:catAx>
      <c:valAx>
        <c:axId val="1867930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930304"/>
        <c:crosses val="autoZero"/>
        <c:crossBetween val="between"/>
      </c:valAx>
      <c:valAx>
        <c:axId val="1592266416"/>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257296"/>
        <c:crosses val="max"/>
        <c:crossBetween val="between"/>
      </c:valAx>
      <c:catAx>
        <c:axId val="1592257296"/>
        <c:scaling>
          <c:orientation val="minMax"/>
        </c:scaling>
        <c:delete val="1"/>
        <c:axPos val="l"/>
        <c:numFmt formatCode="General" sourceLinked="1"/>
        <c:majorTickMark val="out"/>
        <c:minorTickMark val="none"/>
        <c:tickLblPos val="nextTo"/>
        <c:crossAx val="15922664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635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[Instagram_Anaytics_Project.xlsx]Reels vs Carousel!PivotTable3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a:t>Reel vs Carousel - Rech and Engagement Rate</a:t>
            </a:r>
          </a:p>
        </c:rich>
      </c:tx>
      <c:layout>
        <c:manualLayout>
          <c:xMode val="edge"/>
          <c:yMode val="edge"/>
          <c:x val="0.16363888888888889"/>
          <c:y val="0.13323855351414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1"/>
          <c:tx>
            <c:strRef>
              <c:f>'Reels vs Carousel'!$C$3</c:f>
              <c:strCache>
                <c:ptCount val="1"/>
                <c:pt idx="0">
                  <c:v>Average of Engagement Rate</c:v>
                </c:pt>
              </c:strCache>
            </c:strRef>
          </c:tx>
          <c:spPr>
            <a:solidFill>
              <a:schemeClr val="accent2"/>
            </a:solidFill>
            <a:ln>
              <a:noFill/>
            </a:ln>
            <a:effectLst/>
          </c:spPr>
          <c:invertIfNegative val="0"/>
          <c:cat>
            <c:strRef>
              <c:f>'Reels vs Carousel'!$A$4:$A$6</c:f>
              <c:strCache>
                <c:ptCount val="2"/>
                <c:pt idx="0">
                  <c:v>Carousel </c:v>
                </c:pt>
                <c:pt idx="1">
                  <c:v>Reel</c:v>
                </c:pt>
              </c:strCache>
            </c:strRef>
          </c:cat>
          <c:val>
            <c:numRef>
              <c:f>'Reels vs Carousel'!$C$4:$C$6</c:f>
              <c:numCache>
                <c:formatCode>General</c:formatCode>
                <c:ptCount val="2"/>
                <c:pt idx="0">
                  <c:v>11.570113088254892</c:v>
                </c:pt>
                <c:pt idx="1">
                  <c:v>8.4390791731415451</c:v>
                </c:pt>
              </c:numCache>
            </c:numRef>
          </c:val>
          <c:extLst>
            <c:ext xmlns:c16="http://schemas.microsoft.com/office/drawing/2014/chart" uri="{C3380CC4-5D6E-409C-BE32-E72D297353CC}">
              <c16:uniqueId val="{00000001-CD7D-4732-99CC-5C74F1E089BC}"/>
            </c:ext>
          </c:extLst>
        </c:ser>
        <c:dLbls>
          <c:showLegendKey val="0"/>
          <c:showVal val="0"/>
          <c:showCatName val="0"/>
          <c:showSerName val="0"/>
          <c:showPercent val="0"/>
          <c:showBubbleSize val="0"/>
        </c:dLbls>
        <c:gapWidth val="182"/>
        <c:axId val="1419166736"/>
        <c:axId val="1419179216"/>
      </c:barChart>
      <c:barChart>
        <c:barDir val="bar"/>
        <c:grouping val="clustered"/>
        <c:varyColors val="0"/>
        <c:ser>
          <c:idx val="0"/>
          <c:order val="0"/>
          <c:tx>
            <c:strRef>
              <c:f>'Reels vs Carousel'!$B$3</c:f>
              <c:strCache>
                <c:ptCount val="1"/>
                <c:pt idx="0">
                  <c:v>Sum of Reach</c:v>
                </c:pt>
              </c:strCache>
            </c:strRef>
          </c:tx>
          <c:spPr>
            <a:solidFill>
              <a:schemeClr val="accent1"/>
            </a:solidFill>
            <a:ln>
              <a:noFill/>
            </a:ln>
            <a:effectLst/>
          </c:spPr>
          <c:invertIfNegative val="0"/>
          <c:cat>
            <c:strRef>
              <c:f>'Reels vs Carousel'!$A$4:$A$6</c:f>
              <c:strCache>
                <c:ptCount val="2"/>
                <c:pt idx="0">
                  <c:v>Carousel </c:v>
                </c:pt>
                <c:pt idx="1">
                  <c:v>Reel</c:v>
                </c:pt>
              </c:strCache>
            </c:strRef>
          </c:cat>
          <c:val>
            <c:numRef>
              <c:f>'Reels vs Carousel'!$B$4:$B$6</c:f>
              <c:numCache>
                <c:formatCode>General</c:formatCode>
                <c:ptCount val="2"/>
                <c:pt idx="0">
                  <c:v>73125</c:v>
                </c:pt>
                <c:pt idx="1">
                  <c:v>476745</c:v>
                </c:pt>
              </c:numCache>
            </c:numRef>
          </c:val>
          <c:extLst>
            <c:ext xmlns:c16="http://schemas.microsoft.com/office/drawing/2014/chart" uri="{C3380CC4-5D6E-409C-BE32-E72D297353CC}">
              <c16:uniqueId val="{00000000-CD7D-4732-99CC-5C74F1E089BC}"/>
            </c:ext>
          </c:extLst>
        </c:ser>
        <c:dLbls>
          <c:showLegendKey val="0"/>
          <c:showVal val="0"/>
          <c:showCatName val="0"/>
          <c:showSerName val="0"/>
          <c:showPercent val="0"/>
          <c:showBubbleSize val="0"/>
        </c:dLbls>
        <c:gapWidth val="182"/>
        <c:axId val="1592279376"/>
        <c:axId val="1592267376"/>
      </c:barChart>
      <c:catAx>
        <c:axId val="141916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179216"/>
        <c:crosses val="autoZero"/>
        <c:auto val="1"/>
        <c:lblAlgn val="ctr"/>
        <c:lblOffset val="100"/>
        <c:noMultiLvlLbl val="0"/>
      </c:catAx>
      <c:valAx>
        <c:axId val="1419179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166736"/>
        <c:crosses val="autoZero"/>
        <c:crossBetween val="between"/>
      </c:valAx>
      <c:valAx>
        <c:axId val="1592267376"/>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279376"/>
        <c:crosses val="max"/>
        <c:crossBetween val="between"/>
      </c:valAx>
      <c:catAx>
        <c:axId val="1592279376"/>
        <c:scaling>
          <c:orientation val="minMax"/>
        </c:scaling>
        <c:delete val="1"/>
        <c:axPos val="l"/>
        <c:numFmt formatCode="General" sourceLinked="1"/>
        <c:majorTickMark val="out"/>
        <c:minorTickMark val="none"/>
        <c:tickLblPos val="nextTo"/>
        <c:crossAx val="15922673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19740000" sx="94000" sy="94000" algn="ctr" rotWithShape="0">
        <a:srgbClr val="000000"/>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[Instagram_Anaytics_Project.xlsx]followers gained!PivotTable4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a:t>
            </a:r>
            <a:r>
              <a:rPr lang="en-US" baseline="0"/>
              <a:t> Followers gained by content category</a:t>
            </a:r>
            <a:endParaRPr lang="en-US"/>
          </a:p>
        </c:rich>
      </c:tx>
      <c:layout>
        <c:manualLayout>
          <c:xMode val="edge"/>
          <c:yMode val="edge"/>
          <c:x val="0.21720844269466316"/>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'followers gained'!$B$3</c:f>
              <c:strCache>
                <c:ptCount val="1"/>
                <c:pt idx="0">
                  <c:v>Total</c:v>
                </c:pt>
              </c:strCache>
            </c:strRef>
          </c:tx>
          <c:spPr>
            <a:solidFill>
              <a:schemeClr val="accent1"/>
            </a:solidFill>
            <a:ln>
              <a:noFill/>
            </a:ln>
            <a:effectLst/>
          </c:spPr>
          <c:invertIfNegative val="0"/>
          <c:cat>
            <c:strRef>
              <c:f>'followers gained'!$A$4:$A$11</c:f>
              <c:strCache>
                <c:ptCount val="7"/>
                <c:pt idx="0">
                  <c:v>eid</c:v>
                </c:pt>
                <c:pt idx="1">
                  <c:v>family</c:v>
                </c:pt>
                <c:pt idx="2">
                  <c:v>lifestyle</c:v>
                </c:pt>
                <c:pt idx="3">
                  <c:v>new year</c:v>
                </c:pt>
                <c:pt idx="4">
                  <c:v>outfit</c:v>
                </c:pt>
                <c:pt idx="5">
                  <c:v>styling</c:v>
                </c:pt>
                <c:pt idx="6">
                  <c:v>valentines</c:v>
                </c:pt>
              </c:strCache>
            </c:strRef>
          </c:cat>
          <c:val>
            <c:numRef>
              <c:f>'followers gained'!$B$4:$B$11</c:f>
              <c:numCache>
                <c:formatCode>General</c:formatCode>
                <c:ptCount val="7"/>
                <c:pt idx="0">
                  <c:v>638</c:v>
                </c:pt>
                <c:pt idx="1">
                  <c:v>50</c:v>
                </c:pt>
                <c:pt idx="2">
                  <c:v>745</c:v>
                </c:pt>
                <c:pt idx="3">
                  <c:v>33</c:v>
                </c:pt>
                <c:pt idx="4">
                  <c:v>116</c:v>
                </c:pt>
                <c:pt idx="5">
                  <c:v>29</c:v>
                </c:pt>
                <c:pt idx="6">
                  <c:v>12</c:v>
                </c:pt>
              </c:numCache>
            </c:numRef>
          </c:val>
          <c:extLst>
            <c:ext xmlns:c16="http://schemas.microsoft.com/office/drawing/2014/chart" uri="{C3380CC4-5D6E-409C-BE32-E72D297353CC}">
              <c16:uniqueId val="{00000000-390F-4935-A7B6-78B33D769ECB}"/>
            </c:ext>
          </c:extLst>
        </c:ser>
        <c:dLbls>
          <c:showLegendKey val="0"/>
          <c:showVal val="0"/>
          <c:showCatName val="0"/>
          <c:showSerName val="0"/>
          <c:showPercent val="0"/>
          <c:showBubbleSize val="0"/>
        </c:dLbls>
        <c:gapWidth val="219"/>
        <c:overlap val="-27"/>
        <c:axId val="1589287312"/>
        <c:axId val="1589287792"/>
      </c:barChart>
      <c:catAx>
        <c:axId val="158928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87792"/>
        <c:crosses val="autoZero"/>
        <c:auto val="1"/>
        <c:lblAlgn val="ctr"/>
        <c:lblOffset val="100"/>
        <c:noMultiLvlLbl val="0"/>
      </c:catAx>
      <c:valAx>
        <c:axId val="158928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8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[Instagram_Anaytics_Project.xlsx]monthly reach!PivotTable13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a:t>Monthly Reach trend-</a:t>
            </a:r>
            <a:r>
              <a:rPr lang="en-IE" baseline="0"/>
              <a:t> Nov 2025 to Jun 2026</a:t>
            </a:r>
            <a:endParaRPr lang="en-IE"/>
          </a:p>
        </c:rich>
      </c:tx>
      <c:layout>
        <c:manualLayout>
          <c:xMode val="edge"/>
          <c:yMode val="edge"/>
          <c:x val="0.19677777777777777"/>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reach'!$B$3</c:f>
              <c:strCache>
                <c:ptCount val="1"/>
                <c:pt idx="0">
                  <c:v>Sum of Sum of Reach</c:v>
                </c:pt>
              </c:strCache>
            </c:strRef>
          </c:tx>
          <c:spPr>
            <a:ln w="28575" cap="rnd">
              <a:solidFill>
                <a:schemeClr val="accent1"/>
              </a:solidFill>
              <a:round/>
            </a:ln>
            <a:effectLst/>
          </c:spPr>
          <c:marker>
            <c:symbol val="none"/>
          </c:marker>
          <c:cat>
            <c:strRef>
              <c:f>'monthly reach'!$A$4:$A$11</c:f>
              <c:strCache>
                <c:ptCount val="7"/>
                <c:pt idx="0">
                  <c:v>Nov-25</c:v>
                </c:pt>
                <c:pt idx="1">
                  <c:v>May-26</c:v>
                </c:pt>
                <c:pt idx="2">
                  <c:v>Jun-26</c:v>
                </c:pt>
                <c:pt idx="3">
                  <c:v>Jan-26</c:v>
                </c:pt>
                <c:pt idx="4">
                  <c:v>Feb-26</c:v>
                </c:pt>
                <c:pt idx="5">
                  <c:v>Dec-25</c:v>
                </c:pt>
                <c:pt idx="6">
                  <c:v>Apr-26</c:v>
                </c:pt>
              </c:strCache>
            </c:strRef>
          </c:cat>
          <c:val>
            <c:numRef>
              <c:f>'monthly reach'!$B$4:$B$11</c:f>
              <c:numCache>
                <c:formatCode>General</c:formatCode>
                <c:ptCount val="7"/>
                <c:pt idx="0">
                  <c:v>51038</c:v>
                </c:pt>
                <c:pt idx="1">
                  <c:v>239332</c:v>
                </c:pt>
                <c:pt idx="2">
                  <c:v>49925</c:v>
                </c:pt>
                <c:pt idx="3">
                  <c:v>60561</c:v>
                </c:pt>
                <c:pt idx="4">
                  <c:v>127510</c:v>
                </c:pt>
                <c:pt idx="5">
                  <c:v>16326</c:v>
                </c:pt>
                <c:pt idx="6">
                  <c:v>5178</c:v>
                </c:pt>
              </c:numCache>
            </c:numRef>
          </c:val>
          <c:smooth val="0"/>
          <c:extLst>
            <c:ext xmlns:c16="http://schemas.microsoft.com/office/drawing/2014/chart" uri="{C3380CC4-5D6E-409C-BE32-E72D297353CC}">
              <c16:uniqueId val="{00000000-835A-4C41-B19C-D4EC688DE2FA}"/>
            </c:ext>
          </c:extLst>
        </c:ser>
        <c:ser>
          <c:idx val="1"/>
          <c:order val="1"/>
          <c:tx>
            <c:strRef>
              <c:f>'monthly reach'!$C$3</c:f>
              <c:strCache>
                <c:ptCount val="1"/>
                <c:pt idx="0">
                  <c:v>Average of Average of Engagement Rate</c:v>
                </c:pt>
              </c:strCache>
            </c:strRef>
          </c:tx>
          <c:spPr>
            <a:ln w="28575" cap="rnd">
              <a:solidFill>
                <a:schemeClr val="accent2"/>
              </a:solidFill>
              <a:round/>
            </a:ln>
            <a:effectLst/>
          </c:spPr>
          <c:marker>
            <c:symbol val="none"/>
          </c:marker>
          <c:cat>
            <c:strRef>
              <c:f>'monthly reach'!$A$4:$A$11</c:f>
              <c:strCache>
                <c:ptCount val="7"/>
                <c:pt idx="0">
                  <c:v>Nov-25</c:v>
                </c:pt>
                <c:pt idx="1">
                  <c:v>May-26</c:v>
                </c:pt>
                <c:pt idx="2">
                  <c:v>Jun-26</c:v>
                </c:pt>
                <c:pt idx="3">
                  <c:v>Jan-26</c:v>
                </c:pt>
                <c:pt idx="4">
                  <c:v>Feb-26</c:v>
                </c:pt>
                <c:pt idx="5">
                  <c:v>Dec-25</c:v>
                </c:pt>
                <c:pt idx="6">
                  <c:v>Apr-26</c:v>
                </c:pt>
              </c:strCache>
            </c:strRef>
          </c:cat>
          <c:val>
            <c:numRef>
              <c:f>'monthly reach'!$C$4:$C$11</c:f>
              <c:numCache>
                <c:formatCode>General</c:formatCode>
                <c:ptCount val="7"/>
                <c:pt idx="0">
                  <c:v>5.9365190789685114</c:v>
                </c:pt>
                <c:pt idx="1">
                  <c:v>13.873847761778173</c:v>
                </c:pt>
                <c:pt idx="2">
                  <c:v>9.6384576865297937</c:v>
                </c:pt>
                <c:pt idx="3">
                  <c:v>9.436421533042477</c:v>
                </c:pt>
                <c:pt idx="4">
                  <c:v>10.302862434922883</c:v>
                </c:pt>
                <c:pt idx="5">
                  <c:v>4.6094401073326914</c:v>
                </c:pt>
                <c:pt idx="6">
                  <c:v>6.08342989571263</c:v>
                </c:pt>
              </c:numCache>
            </c:numRef>
          </c:val>
          <c:smooth val="0"/>
          <c:extLst>
            <c:ext xmlns:c16="http://schemas.microsoft.com/office/drawing/2014/chart" uri="{C3380CC4-5D6E-409C-BE32-E72D297353CC}">
              <c16:uniqueId val="{00000001-835A-4C41-B19C-D4EC688DE2FA}"/>
            </c:ext>
          </c:extLst>
        </c:ser>
        <c:dLbls>
          <c:showLegendKey val="0"/>
          <c:showVal val="0"/>
          <c:showCatName val="0"/>
          <c:showSerName val="0"/>
          <c:showPercent val="0"/>
          <c:showBubbleSize val="0"/>
        </c:dLbls>
        <c:smooth val="0"/>
        <c:axId val="1323736256"/>
        <c:axId val="1323727136"/>
      </c:lineChart>
      <c:catAx>
        <c:axId val="132373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727136"/>
        <c:crosses val="autoZero"/>
        <c:auto val="1"/>
        <c:lblAlgn val="ctr"/>
        <c:lblOffset val="100"/>
        <c:noMultiLvlLbl val="0"/>
      </c:catAx>
      <c:valAx>
        <c:axId val="132372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73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314325</xdr:colOff>
      <xdr:row>7</xdr:row>
      <xdr:rowOff>31750</xdr:rowOff>
    </xdr:from>
    <xdr:to>
      <xdr:col>12</xdr:col>
      <xdr:colOff>9525</xdr:colOff>
      <xdr:row>22</xdr:row>
      <xdr:rowOff>12700</xdr:rowOff>
    </xdr:to>
    <xdr:graphicFrame macro="">
      <xdr:nvGraphicFramePr>
        <xdr:cNvPr id="2" name="Chart 1">
          <a:extLst>
            <a:ext uri="{FF2B5EF4-FFF2-40B4-BE49-F238E27FC236}">
              <a16:creationId xmlns:a16="http://schemas.microsoft.com/office/drawing/2014/main" id="{C11B7BDC-D9E3-D5E7-2D09-28B50E1B6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241300</xdr:colOff>
      <xdr:row>6</xdr:row>
      <xdr:rowOff>38100</xdr:rowOff>
    </xdr:from>
    <xdr:to>
      <xdr:col>11</xdr:col>
      <xdr:colOff>546100</xdr:colOff>
      <xdr:row>21</xdr:row>
      <xdr:rowOff>19050</xdr:rowOff>
    </xdr:to>
    <xdr:graphicFrame macro="">
      <xdr:nvGraphicFramePr>
        <xdr:cNvPr id="2" name="Chart 1">
          <a:extLst>
            <a:ext uri="{FF2B5EF4-FFF2-40B4-BE49-F238E27FC236}">
              <a16:creationId xmlns:a16="http://schemas.microsoft.com/office/drawing/2014/main" id="{1B72C88A-0EFE-BB1A-3183-D8A0D5882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488950</xdr:colOff>
      <xdr:row>12</xdr:row>
      <xdr:rowOff>82550</xdr:rowOff>
    </xdr:from>
    <xdr:to>
      <xdr:col>11</xdr:col>
      <xdr:colOff>184150</xdr:colOff>
      <xdr:row>27</xdr:row>
      <xdr:rowOff>63500</xdr:rowOff>
    </xdr:to>
    <xdr:graphicFrame macro="">
      <xdr:nvGraphicFramePr>
        <xdr:cNvPr id="2" name="Chart 1">
          <a:extLst>
            <a:ext uri="{FF2B5EF4-FFF2-40B4-BE49-F238E27FC236}">
              <a16:creationId xmlns:a16="http://schemas.microsoft.com/office/drawing/2014/main" id="{3B406D9F-C579-F8A1-4E9A-A5A79F30A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946150</xdr:colOff>
      <xdr:row>14</xdr:row>
      <xdr:rowOff>168275</xdr:rowOff>
    </xdr:from>
    <xdr:to>
      <xdr:col>8</xdr:col>
      <xdr:colOff>120650</xdr:colOff>
      <xdr:row>29</xdr:row>
      <xdr:rowOff>149225</xdr:rowOff>
    </xdr:to>
    <xdr:graphicFrame macro="">
      <xdr:nvGraphicFramePr>
        <xdr:cNvPr id="2" name="Chart 1">
          <a:extLst>
            <a:ext uri="{FF2B5EF4-FFF2-40B4-BE49-F238E27FC236}">
              <a16:creationId xmlns:a16="http://schemas.microsoft.com/office/drawing/2014/main" id="{A32C98F3-D38D-F69B-B82A-DA04E62A6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679450</xdr:colOff>
      <xdr:row>2</xdr:row>
      <xdr:rowOff>158750</xdr:rowOff>
    </xdr:from>
    <xdr:to>
      <xdr:col>10</xdr:col>
      <xdr:colOff>488950</xdr:colOff>
      <xdr:row>6</xdr:row>
      <xdr:rowOff>82550</xdr:rowOff>
    </xdr:to>
    <xdr:sp macro="" textlink="">
      <xdr:nvSpPr>
        <xdr:cNvPr id="2" name="Rectangle: Rounded Corners 1">
          <a:extLst>
            <a:ext uri="{FF2B5EF4-FFF2-40B4-BE49-F238E27FC236}">
              <a16:creationId xmlns:a16="http://schemas.microsoft.com/office/drawing/2014/main" id="{1405271D-E233-02D9-595C-A974A567BE62}"/>
            </a:ext>
          </a:extLst>
        </xdr:cNvPr>
        <xdr:cNvSpPr/>
      </xdr:nvSpPr>
      <xdr:spPr>
        <a:xfrm>
          <a:off x="1930400" y="527050"/>
          <a:ext cx="7226300" cy="660400"/>
        </a:xfrm>
        <a:prstGeom prst="roundRect">
          <a:avLst/>
        </a:prstGeom>
        <a:solidFill>
          <a:schemeClr val="tx2">
            <a:lumMod val="10000"/>
            <a:lumOff val="9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E" sz="1100" b="0" i="0" u="none" strike="noStrike">
              <a:solidFill>
                <a:schemeClr val="dk1"/>
              </a:solidFill>
              <a:effectLst/>
              <a:latin typeface="+mn-lt"/>
              <a:ea typeface="+mn-ea"/>
              <a:cs typeface="+mn-cs"/>
            </a:rPr>
            <a:t>Total Reach        </a:t>
          </a:r>
          <a:r>
            <a:rPr lang="en-IE">
              <a:effectLst/>
            </a:rPr>
            <a:t> </a:t>
          </a:r>
          <a:r>
            <a:rPr lang="en-IE" sz="1100" b="0" i="0" u="none" strike="noStrike">
              <a:solidFill>
                <a:schemeClr val="dk1"/>
              </a:solidFill>
              <a:effectLst/>
              <a:latin typeface="+mn-lt"/>
              <a:ea typeface="+mn-ea"/>
              <a:cs typeface="+mn-cs"/>
            </a:rPr>
            <a:t>Total Fllowers</a:t>
          </a:r>
          <a:r>
            <a:rPr lang="en-IE">
              <a:effectLst/>
            </a:rPr>
            <a:t>          </a:t>
          </a:r>
          <a:r>
            <a:rPr lang="en-IE" sz="1100" b="0" i="0" u="none" strike="noStrike">
              <a:solidFill>
                <a:schemeClr val="dk1"/>
              </a:solidFill>
              <a:effectLst/>
              <a:latin typeface="+mn-lt"/>
              <a:ea typeface="+mn-ea"/>
              <a:cs typeface="+mn-cs"/>
            </a:rPr>
            <a:t>Average Engagement       </a:t>
          </a:r>
          <a:r>
            <a:rPr lang="en-IE">
              <a:effectLst/>
            </a:rPr>
            <a:t> </a:t>
          </a:r>
          <a:r>
            <a:rPr lang="en-IE" sz="1100" b="0" i="0" u="none" strike="noStrike">
              <a:solidFill>
                <a:schemeClr val="dk1"/>
              </a:solidFill>
              <a:effectLst/>
              <a:latin typeface="+mn-lt"/>
              <a:ea typeface="+mn-ea"/>
              <a:cs typeface="+mn-cs"/>
            </a:rPr>
            <a:t>Best Category</a:t>
          </a:r>
          <a:r>
            <a:rPr lang="en-IE">
              <a:effectLst/>
            </a:rPr>
            <a:t>         </a:t>
          </a:r>
          <a:r>
            <a:rPr lang="en-IE" sz="1100" b="0" i="0" u="none" strike="noStrike">
              <a:solidFill>
                <a:schemeClr val="dk1"/>
              </a:solidFill>
              <a:effectLst/>
              <a:latin typeface="+mn-lt"/>
              <a:ea typeface="+mn-ea"/>
              <a:cs typeface="+mn-cs"/>
            </a:rPr>
            <a:t>Best Post Type      </a:t>
          </a:r>
          <a:r>
            <a:rPr lang="en-IE">
              <a:effectLst/>
            </a:rPr>
            <a:t> </a:t>
          </a:r>
          <a:r>
            <a:rPr lang="en-IE" sz="1100" b="0" i="0" u="none" strike="noStrike">
              <a:solidFill>
                <a:schemeClr val="dk1"/>
              </a:solidFill>
              <a:effectLst/>
              <a:latin typeface="+mn-lt"/>
              <a:ea typeface="+mn-ea"/>
              <a:cs typeface="+mn-cs"/>
            </a:rPr>
            <a:t>Highest Engagement </a:t>
          </a:r>
          <a:r>
            <a:rPr lang="en-IE">
              <a:effectLst/>
            </a:rPr>
            <a:t> </a:t>
          </a:r>
        </a:p>
        <a:p>
          <a:pPr algn="l"/>
          <a:r>
            <a:rPr lang="en-IE" sz="1100" b="0" i="0" u="none" strike="noStrike">
              <a:solidFill>
                <a:schemeClr val="dk1"/>
              </a:solidFill>
              <a:effectLst/>
              <a:latin typeface="+mn-lt"/>
              <a:ea typeface="+mn-ea"/>
              <a:cs typeface="+mn-cs"/>
            </a:rPr>
            <a:t>549,870</a:t>
          </a:r>
          <a:r>
            <a:rPr lang="en-IE">
              <a:effectLst/>
            </a:rPr>
            <a:t>              </a:t>
          </a:r>
          <a:r>
            <a:rPr lang="en-IE" sz="1100" b="0" i="0" u="none" strike="noStrike">
              <a:solidFill>
                <a:schemeClr val="dk1"/>
              </a:solidFill>
              <a:effectLst/>
              <a:latin typeface="+mn-lt"/>
              <a:ea typeface="+mn-ea"/>
              <a:cs typeface="+mn-cs"/>
            </a:rPr>
            <a:t>162300.00%                        </a:t>
          </a:r>
          <a:r>
            <a:rPr lang="en-IE">
              <a:effectLst/>
            </a:rPr>
            <a:t> </a:t>
          </a:r>
          <a:r>
            <a:rPr lang="en-IE" sz="1100" b="0" i="0" u="none" strike="noStrike">
              <a:solidFill>
                <a:schemeClr val="dk1"/>
              </a:solidFill>
              <a:effectLst/>
              <a:latin typeface="+mn-lt"/>
              <a:ea typeface="+mn-ea"/>
              <a:cs typeface="+mn-cs"/>
            </a:rPr>
            <a:t>9.7</a:t>
          </a:r>
          <a:r>
            <a:rPr lang="en-IE">
              <a:effectLst/>
            </a:rPr>
            <a:t>                                          </a:t>
          </a:r>
          <a:r>
            <a:rPr lang="en-IE" sz="1100" b="0" i="0" u="none" strike="noStrike">
              <a:solidFill>
                <a:schemeClr val="dk1"/>
              </a:solidFill>
              <a:effectLst/>
              <a:latin typeface="+mn-lt"/>
              <a:ea typeface="+mn-ea"/>
              <a:cs typeface="+mn-cs"/>
            </a:rPr>
            <a:t>Eid</a:t>
          </a:r>
          <a:r>
            <a:rPr lang="en-IE">
              <a:effectLst/>
            </a:rPr>
            <a:t>                              </a:t>
          </a:r>
          <a:r>
            <a:rPr lang="en-IE" sz="1100" b="0" i="0" u="none" strike="noStrike">
              <a:solidFill>
                <a:schemeClr val="dk1"/>
              </a:solidFill>
              <a:effectLst/>
              <a:latin typeface="+mn-lt"/>
              <a:ea typeface="+mn-ea"/>
              <a:cs typeface="+mn-cs"/>
            </a:rPr>
            <a:t>Reels                          </a:t>
          </a:r>
          <a:r>
            <a:rPr lang="en-IE">
              <a:effectLst/>
            </a:rPr>
            <a:t> </a:t>
          </a:r>
          <a:r>
            <a:rPr lang="en-IE" sz="1100" b="0" i="0" u="none" strike="noStrike">
              <a:solidFill>
                <a:schemeClr val="dk1"/>
              </a:solidFill>
              <a:effectLst/>
              <a:latin typeface="+mn-lt"/>
              <a:ea typeface="+mn-ea"/>
              <a:cs typeface="+mn-cs"/>
            </a:rPr>
            <a:t>Carousel</a:t>
          </a:r>
          <a:r>
            <a:rPr lang="en-IE">
              <a:effectLst/>
            </a:rPr>
            <a:t> </a:t>
          </a:r>
          <a:endParaRPr lang="en-IE"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san Haider" refreshedDate="46198.70506724537" createdVersion="8" refreshedVersion="8" minRefreshableVersion="3" recordCount="30" xr:uid="{57B017D2-EF8F-48CD-82D0-25EAEA691EBC}">
  <cacheSource type="worksheet">
    <worksheetSource name="instagram"/>
  </cacheSource>
  <cacheFields count="13">
    <cacheField name="Post Date" numFmtId="14">
      <sharedItems containsSemiMixedTypes="0" containsNonDate="0" containsDate="1" containsString="0" minDate="2025-11-11T00:00:00" maxDate="2026-06-02T00:00:00"/>
    </cacheField>
    <cacheField name="Post Type" numFmtId="0">
      <sharedItems count="4">
        <s v="Reel"/>
        <s v="Carousel "/>
        <s v="Carousel" u="1"/>
        <s v=" Reel" u="1"/>
      </sharedItems>
    </cacheField>
    <cacheField name="Likes" numFmtId="0">
      <sharedItems containsSemiMixedTypes="0" containsString="0" containsNumber="1" containsInteger="1" minValue="177" maxValue="17000"/>
    </cacheField>
    <cacheField name="Comments" numFmtId="0">
      <sharedItems containsSemiMixedTypes="0" containsString="0" containsNumber="1" containsInteger="1" minValue="12" maxValue="1500"/>
    </cacheField>
    <cacheField name="Saves" numFmtId="0">
      <sharedItems containsSemiMixedTypes="0" containsString="0" containsNumber="1" containsInteger="1" minValue="0" maxValue="1900"/>
    </cacheField>
    <cacheField name="Shares " numFmtId="0">
      <sharedItems containsSemiMixedTypes="0" containsString="0" containsNumber="1" containsInteger="1" minValue="0" maxValue="1683"/>
    </cacheField>
    <cacheField name="Reach" numFmtId="0">
      <sharedItems containsSemiMixedTypes="0" containsString="0" containsNumber="1" containsInteger="1" minValue="2772" maxValue="109725"/>
    </cacheField>
    <cacheField name="Impressions" numFmtId="0">
      <sharedItems containsSemiMixedTypes="0" containsString="0" containsNumber="1" containsInteger="1" minValue="6265" maxValue="204666"/>
    </cacheField>
    <cacheField name="category" numFmtId="0">
      <sharedItems count="7">
        <s v="eid"/>
        <s v="outfit"/>
        <s v="styling"/>
        <s v="lifestyle"/>
        <s v="valentines"/>
        <s v="family"/>
        <s v="new year"/>
      </sharedItems>
    </cacheField>
    <cacheField name="Reposts" numFmtId="0">
      <sharedItems containsSemiMixedTypes="0" containsString="0" containsNumber="1" containsInteger="1" minValue="0" maxValue="131"/>
    </cacheField>
    <cacheField name="Profile Visits" numFmtId="0">
      <sharedItems containsSemiMixedTypes="0" containsString="0" containsNumber="1" containsInteger="1" minValue="45" maxValue="8385"/>
    </cacheField>
    <cacheField name="Follows" numFmtId="0">
      <sharedItems containsSemiMixedTypes="0" containsString="0" containsNumber="1" containsInteger="1" minValue="1" maxValue="693"/>
    </cacheField>
    <cacheField name="Engagement Rate" numFmtId="0">
      <sharedItems containsSemiMixedTypes="0" containsString="0" containsNumber="1" minValue="4.2887776983559691" maxValue="20.42374139894064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san Haider" refreshedDate="46198.698503703701" backgroundQuery="1" createdVersion="8" refreshedVersion="8" minRefreshableVersion="3" recordCount="0" supportSubquery="1" supportAdvancedDrill="1" xr:uid="{12E1166F-BC54-4E43-ADC8-015E548CFAEA}">
  <cacheSource type="external" connectionId="1"/>
  <cacheFields count="3">
    <cacheField name="[Measures].[Sum of Reach]" caption="Sum of Reach" numFmtId="0" hierarchy="17" level="32767"/>
    <cacheField name="[instagram].[category].[category]" caption="category" numFmtId="0" hierarchy="8" level="1">
      <sharedItems count="7">
        <s v="eid"/>
        <s v="family"/>
        <s v="lifestyle"/>
        <s v="new year"/>
        <s v="outfit"/>
        <s v="styling"/>
        <s v="valentines"/>
      </sharedItems>
    </cacheField>
    <cacheField name="[Measures].[Average of Engagement Rate]" caption="Average of Engagement Rate" numFmtId="0" hierarchy="19" level="32767"/>
  </cacheFields>
  <cacheHierarchies count="20">
    <cacheHierarchy uniqueName="[instagram].[Post Date]" caption="Post Date" attribute="1" time="1" defaultMemberUniqueName="[instagram].[Post Date].[All]" allUniqueName="[instagram].[Post Date].[All]" dimensionUniqueName="[instagram]" displayFolder="" count="0" memberValueDatatype="7" unbalanced="0"/>
    <cacheHierarchy uniqueName="[instagram].[Post Type]" caption="Post Type" attribute="1" defaultMemberUniqueName="[instagram].[Post Type].[All]" allUniqueName="[instagram].[Post Type].[All]" dimensionUniqueName="[instagram]" displayFolder="" count="0" memberValueDatatype="130" unbalanced="0"/>
    <cacheHierarchy uniqueName="[instagram].[Likes]" caption="Likes" attribute="1" defaultMemberUniqueName="[instagram].[Likes].[All]" allUniqueName="[instagram].[Likes].[All]" dimensionUniqueName="[instagram]" displayFolder="" count="0" memberValueDatatype="20" unbalanced="0"/>
    <cacheHierarchy uniqueName="[instagram].[Comments]" caption="Comments" attribute="1" defaultMemberUniqueName="[instagram].[Comments].[All]" allUniqueName="[instagram].[Comments].[All]" dimensionUniqueName="[instagram]" displayFolder="" count="0" memberValueDatatype="20" unbalanced="0"/>
    <cacheHierarchy uniqueName="[instagram].[Saves]" caption="Saves" attribute="1" defaultMemberUniqueName="[instagram].[Saves].[All]" allUniqueName="[instagram].[Saves].[All]" dimensionUniqueName="[instagram]" displayFolder="" count="0" memberValueDatatype="20" unbalanced="0"/>
    <cacheHierarchy uniqueName="[instagram].[Shares]" caption="Shares" attribute="1" defaultMemberUniqueName="[instagram].[Shares].[All]" allUniqueName="[instagram].[Shares].[All]" dimensionUniqueName="[instagram]" displayFolder="" count="0" memberValueDatatype="20" unbalanced="0"/>
    <cacheHierarchy uniqueName="[instagram].[Reach]" caption="Reach" attribute="1" defaultMemberUniqueName="[instagram].[Reach].[All]" allUniqueName="[instagram].[Reach].[All]" dimensionUniqueName="[instagram]" displayFolder="" count="0" memberValueDatatype="20" unbalanced="0"/>
    <cacheHierarchy uniqueName="[instagram].[Impressions]" caption="Impressions" attribute="1" defaultMemberUniqueName="[instagram].[Impressions].[All]" allUniqueName="[instagram].[Impressions].[All]" dimensionUniqueName="[instagram]" displayFolder="" count="0" memberValueDatatype="20" unbalanced="0"/>
    <cacheHierarchy uniqueName="[instagram].[category]" caption="category" attribute="1" defaultMemberUniqueName="[instagram].[category].[All]" allUniqueName="[instagram].[category].[All]" dimensionUniqueName="[instagram]" displayFolder="" count="2" memberValueDatatype="130" unbalanced="0">
      <fieldsUsage count="2">
        <fieldUsage x="-1"/>
        <fieldUsage x="1"/>
      </fieldsUsage>
    </cacheHierarchy>
    <cacheHierarchy uniqueName="[instagram].[Reposts]" caption="Reposts" attribute="1" defaultMemberUniqueName="[instagram].[Reposts].[All]" allUniqueName="[instagram].[Reposts].[All]" dimensionUniqueName="[instagram]" displayFolder="" count="0" memberValueDatatype="20" unbalanced="0"/>
    <cacheHierarchy uniqueName="[instagram].[Profile Visits]" caption="Profile Visits" attribute="1" defaultMemberUniqueName="[instagram].[Profile Visits].[All]" allUniqueName="[instagram].[Profile Visits].[All]" dimensionUniqueName="[instagram]" displayFolder="" count="0" memberValueDatatype="20" unbalanced="0"/>
    <cacheHierarchy uniqueName="[instagram].[Follows]" caption="Follows" attribute="1" defaultMemberUniqueName="[instagram].[Follows].[All]" allUniqueName="[instagram].[Follows].[All]" dimensionUniqueName="[instagram]" displayFolder="" count="0" memberValueDatatype="20" unbalanced="0"/>
    <cacheHierarchy uniqueName="[instagram].[Engagement Rate]" caption="Engagement Rate" attribute="1" defaultMemberUniqueName="[instagram].[Engagement Rate].[All]" allUniqueName="[instagram].[Engagement Rate].[All]" dimensionUniqueName="[instagram]" displayFolder="" count="0" memberValueDatatype="5" unbalanced="0"/>
    <cacheHierarchy uniqueName="[instagram month].[month]" caption="month" attribute="1" defaultMemberUniqueName="[instagram month].[month].[All]" allUniqueName="[instagram month].[month].[All]" dimensionUniqueName="[instagram month]" displayFolder="" count="0" memberValueDatatype="130" unbalanced="0"/>
    <cacheHierarchy uniqueName="[Measures].[__XL_Count instagram]" caption="__XL_Count instagram" measure="1" displayFolder="" measureGroup="instagram" count="0" hidden="1"/>
    <cacheHierarchy uniqueName="[Measures].[__XL_Count instagram month]" caption="__XL_Count instagram month" measure="1" displayFolder="" measureGroup="instagram month" count="0" hidden="1"/>
    <cacheHierarchy uniqueName="[Measures].[__No measures defined]" caption="__No measures defined" measure="1" displayFolder="" count="0" hidden="1"/>
    <cacheHierarchy uniqueName="[Measures].[Sum of Reach]" caption="Sum of Reach" measure="1" displayFolder="" measureGroup="instagram"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Engagement Rate]" caption="Sum of Engagement Rate" measure="1" displayFolder="" measureGroup="instagram" count="0" hidden="1">
      <extLst>
        <ext xmlns:x15="http://schemas.microsoft.com/office/spreadsheetml/2010/11/main" uri="{B97F6D7D-B522-45F9-BDA1-12C45D357490}">
          <x15:cacheHierarchy aggregatedColumn="12"/>
        </ext>
      </extLst>
    </cacheHierarchy>
    <cacheHierarchy uniqueName="[Measures].[Average of Engagement Rate]" caption="Average of Engagement Rate" measure="1" displayFolder="" measureGroup="instagram"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instagram" uniqueName="[instagram]" caption="instagram"/>
    <dimension name="instagram month" uniqueName="[instagram month]" caption="instagram month"/>
    <dimension measure="1" name="Measures" uniqueName="[Measures]" caption="Measures"/>
  </dimensions>
  <measureGroups count="2">
    <measureGroup name="instagram" caption="instagram"/>
    <measureGroup name="instagram month" caption="instagram month"/>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san Haider" refreshedDate="46199.834712731485" createdVersion="8" refreshedVersion="8" minRefreshableVersion="3" recordCount="7" xr:uid="{358E64BF-E58F-4BD3-A434-F0F8CFD473B5}">
  <cacheSource type="worksheet">
    <worksheetSource ref="E4:G11" sheet="Sheet12"/>
  </cacheSource>
  <cacheFields count="3">
    <cacheField name="Row Labels" numFmtId="0">
      <sharedItems count="7">
        <s v="Apr-26"/>
        <s v="Dec-25"/>
        <s v="Feb-26"/>
        <s v="Jan-26"/>
        <s v="Jun-26"/>
        <s v="May-26"/>
        <s v="Nov-25"/>
      </sharedItems>
    </cacheField>
    <cacheField name="Sum of Reach" numFmtId="0">
      <sharedItems containsSemiMixedTypes="0" containsString="0" containsNumber="1" containsInteger="1" minValue="5178" maxValue="239332"/>
    </cacheField>
    <cacheField name="Average of Engagement Rate" numFmtId="0">
      <sharedItems containsSemiMixedTypes="0" containsString="0" containsNumber="1" minValue="4.6094401073326914" maxValue="13.87384776177817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6-06-01T00:00:00"/>
    <x v="0"/>
    <n v="3500"/>
    <n v="12"/>
    <n v="837"/>
    <n v="463"/>
    <n v="49925"/>
    <n v="56941"/>
    <x v="0"/>
    <n v="55"/>
    <n v="635"/>
    <n v="70"/>
    <n v="9.6384576865297937"/>
  </r>
  <r>
    <d v="2026-05-31T00:00:00"/>
    <x v="0"/>
    <n v="7500"/>
    <n v="54"/>
    <n v="688"/>
    <n v="557"/>
    <n v="51440"/>
    <n v="63175"/>
    <x v="0"/>
    <n v="47"/>
    <n v="549"/>
    <n v="88"/>
    <n v="17.105365474339035"/>
  </r>
  <r>
    <d v="2026-05-31T00:00:00"/>
    <x v="0"/>
    <n v="17000"/>
    <n v="46"/>
    <n v="1900"/>
    <n v="1683"/>
    <n v="101005"/>
    <n v="119695"/>
    <x v="0"/>
    <n v="131"/>
    <n v="1411"/>
    <n v="320"/>
    <n v="20.423741398940646"/>
  </r>
  <r>
    <d v="2026-05-30T00:00:00"/>
    <x v="0"/>
    <n v="4500"/>
    <n v="60"/>
    <n v="1600"/>
    <n v="1107"/>
    <n v="63345"/>
    <n v="81840"/>
    <x v="0"/>
    <n v="27"/>
    <n v="1317"/>
    <n v="152"/>
    <n v="11.472097245244298"/>
  </r>
  <r>
    <d v="2026-05-30T00:00:00"/>
    <x v="1"/>
    <n v="687"/>
    <n v="54"/>
    <n v="72"/>
    <n v="24"/>
    <n v="8002"/>
    <n v="15660"/>
    <x v="1"/>
    <n v="2"/>
    <n v="193"/>
    <n v="7"/>
    <n v="10.459885028742814"/>
  </r>
  <r>
    <d v="2026-05-28T00:00:00"/>
    <x v="0"/>
    <n v="561"/>
    <n v="97"/>
    <n v="40"/>
    <n v="22"/>
    <n v="7425"/>
    <n v="10570"/>
    <x v="0"/>
    <n v="6"/>
    <n v="180"/>
    <n v="8"/>
    <n v="9.6969696969696972"/>
  </r>
  <r>
    <d v="2026-05-28T00:00:00"/>
    <x v="1"/>
    <n v="856"/>
    <n v="78"/>
    <n v="123"/>
    <n v="86"/>
    <n v="8115"/>
    <n v="13188"/>
    <x v="1"/>
    <n v="7"/>
    <n v="216"/>
    <n v="19"/>
    <n v="14.085027726432534"/>
  </r>
  <r>
    <d v="2026-04-12T00:00:00"/>
    <x v="0"/>
    <n v="240"/>
    <n v="60"/>
    <n v="14"/>
    <n v="1"/>
    <n v="5178"/>
    <n v="8819"/>
    <x v="2"/>
    <n v="1"/>
    <n v="120"/>
    <n v="1"/>
    <n v="6.08342989571263"/>
  </r>
  <r>
    <d v="2026-02-20T00:00:00"/>
    <x v="0"/>
    <n v="4900"/>
    <n v="1500"/>
    <n v="397"/>
    <n v="181"/>
    <n v="109725"/>
    <n v="204666"/>
    <x v="3"/>
    <n v="12"/>
    <n v="8385"/>
    <n v="693"/>
    <n v="6.3595352016404654"/>
  </r>
  <r>
    <d v="2026-02-14T00:00:00"/>
    <x v="1"/>
    <n v="665"/>
    <n v="100"/>
    <n v="45"/>
    <n v="29"/>
    <n v="5767"/>
    <n v="17234"/>
    <x v="4"/>
    <n v="1"/>
    <n v="172"/>
    <n v="12"/>
    <n v="14.548292006242413"/>
  </r>
  <r>
    <d v="2026-02-10T00:00:00"/>
    <x v="1"/>
    <n v="274"/>
    <n v="48"/>
    <n v="11"/>
    <n v="10"/>
    <n v="2772"/>
    <n v="7575"/>
    <x v="1"/>
    <n v="0"/>
    <n v="45"/>
    <n v="4"/>
    <n v="12.373737373737374"/>
  </r>
  <r>
    <d v="2026-02-05T00:00:00"/>
    <x v="1"/>
    <n v="269"/>
    <n v="29"/>
    <n v="8"/>
    <n v="1"/>
    <n v="2867"/>
    <n v="6681"/>
    <x v="3"/>
    <n v="0"/>
    <n v="49"/>
    <n v="4"/>
    <n v="10.708057202650854"/>
  </r>
  <r>
    <d v="2026-02-01T00:00:00"/>
    <x v="0"/>
    <n v="383"/>
    <n v="66"/>
    <n v="14"/>
    <n v="17"/>
    <n v="6379"/>
    <n v="9904"/>
    <x v="1"/>
    <n v="1"/>
    <n v="134"/>
    <n v="9"/>
    <n v="7.5246903903433138"/>
  </r>
  <r>
    <d v="2026-01-22T00:00:00"/>
    <x v="0"/>
    <n v="202"/>
    <n v="61"/>
    <n v="28"/>
    <n v="9"/>
    <n v="3887"/>
    <n v="6345"/>
    <x v="2"/>
    <n v="0"/>
    <n v="75"/>
    <n v="5"/>
    <n v="7.7180344738873172"/>
  </r>
  <r>
    <d v="2026-01-20T00:00:00"/>
    <x v="1"/>
    <n v="468"/>
    <n v="66"/>
    <n v="71"/>
    <n v="10"/>
    <n v="5723"/>
    <n v="13679"/>
    <x v="1"/>
    <n v="0"/>
    <n v="351"/>
    <n v="60"/>
    <n v="10.746112178927136"/>
  </r>
  <r>
    <d v="2026-01-18T00:00:00"/>
    <x v="0"/>
    <n v="177"/>
    <n v="37"/>
    <n v="15"/>
    <n v="6"/>
    <n v="4434"/>
    <n v="7444"/>
    <x v="2"/>
    <n v="0"/>
    <n v="77"/>
    <n v="5"/>
    <n v="5.2999548940009023"/>
  </r>
  <r>
    <d v="2026-01-14T00:00:00"/>
    <x v="1"/>
    <n v="424"/>
    <n v="36"/>
    <n v="19"/>
    <n v="2"/>
    <n v="5229"/>
    <n v="9153"/>
    <x v="5"/>
    <n v="1"/>
    <n v="92"/>
    <n v="4"/>
    <n v="9.198699560145343"/>
  </r>
  <r>
    <d v="2026-01-12T00:00:00"/>
    <x v="0"/>
    <n v="501"/>
    <n v="72"/>
    <n v="49"/>
    <n v="24"/>
    <n v="6655"/>
    <n v="11629"/>
    <x v="5"/>
    <n v="1"/>
    <n v="108"/>
    <n v="4"/>
    <n v="9.7069872276483853"/>
  </r>
  <r>
    <d v="2026-01-11T00:00:00"/>
    <x v="0"/>
    <n v="241"/>
    <n v="44"/>
    <n v="26"/>
    <n v="7"/>
    <n v="4399"/>
    <n v="6265"/>
    <x v="1"/>
    <n v="0"/>
    <n v="88"/>
    <n v="5"/>
    <n v="7.2289156626506017"/>
  </r>
  <r>
    <d v="2026-01-09T00:00:00"/>
    <x v="1"/>
    <n v="249"/>
    <n v="28"/>
    <n v="14"/>
    <n v="2"/>
    <n v="2884"/>
    <n v="7811"/>
    <x v="3"/>
    <n v="1"/>
    <n v="55"/>
    <n v="1"/>
    <n v="10.159500693481275"/>
  </r>
  <r>
    <d v="2026-01-08T00:00:00"/>
    <x v="1"/>
    <n v="437"/>
    <n v="73"/>
    <n v="31"/>
    <n v="20"/>
    <n v="4487"/>
    <n v="11578"/>
    <x v="3"/>
    <n v="0"/>
    <n v="138"/>
    <n v="8"/>
    <n v="12.502785825718743"/>
  </r>
  <r>
    <d v="2026-01-06T00:00:00"/>
    <x v="0"/>
    <n v="294"/>
    <n v="44"/>
    <n v="13"/>
    <n v="5"/>
    <n v="5894"/>
    <n v="9927"/>
    <x v="1"/>
    <n v="0"/>
    <n v="70"/>
    <n v="7"/>
    <n v="6.0400407193756358"/>
  </r>
  <r>
    <d v="2026-01-05T00:00:00"/>
    <x v="1"/>
    <n v="481"/>
    <n v="78"/>
    <n v="46"/>
    <n v="0"/>
    <n v="4365"/>
    <n v="13094"/>
    <x v="3"/>
    <n v="2"/>
    <n v="134"/>
    <n v="21"/>
    <n v="13.860252004581902"/>
  </r>
  <r>
    <d v="2026-01-04T00:00:00"/>
    <x v="0"/>
    <n v="473"/>
    <n v="61"/>
    <n v="45"/>
    <n v="56"/>
    <n v="8255"/>
    <n v="13276"/>
    <x v="6"/>
    <n v="1"/>
    <n v="371"/>
    <n v="27"/>
    <n v="7.6923076923076925"/>
  </r>
  <r>
    <d v="2026-01-03T00:00:00"/>
    <x v="1"/>
    <n v="428"/>
    <n v="110"/>
    <n v="31"/>
    <n v="0"/>
    <n v="4349"/>
    <n v="15153"/>
    <x v="6"/>
    <n v="0"/>
    <n v="141"/>
    <n v="6"/>
    <n v="13.083467463784778"/>
  </r>
  <r>
    <d v="2025-12-31T00:00:00"/>
    <x v="0"/>
    <n v="212"/>
    <n v="18"/>
    <n v="0"/>
    <n v="10"/>
    <n v="5596"/>
    <n v="9130"/>
    <x v="1"/>
    <n v="0"/>
    <n v="90"/>
    <n v="5"/>
    <n v="4.2887776983559691"/>
  </r>
  <r>
    <d v="2025-12-12T00:00:00"/>
    <x v="0"/>
    <n v="407"/>
    <n v="12"/>
    <n v="54"/>
    <n v="56"/>
    <n v="10730"/>
    <n v="16453"/>
    <x v="3"/>
    <n v="13"/>
    <n v="70"/>
    <n v="6"/>
    <n v="4.9301025163094128"/>
  </r>
  <r>
    <d v="2025-11-29T00:00:00"/>
    <x v="0"/>
    <n v="350"/>
    <n v="19"/>
    <n v="196"/>
    <n v="78"/>
    <n v="14722"/>
    <n v="22703"/>
    <x v="2"/>
    <n v="6"/>
    <n v="96"/>
    <n v="18"/>
    <n v="4.3676130960467328"/>
  </r>
  <r>
    <d v="2025-11-16T00:00:00"/>
    <x v="0"/>
    <n v="885"/>
    <n v="74"/>
    <n v="101"/>
    <n v="63"/>
    <n v="17751"/>
    <n v="27804"/>
    <x v="5"/>
    <n v="3"/>
    <n v="262"/>
    <n v="42"/>
    <n v="6.3264041462452818"/>
  </r>
  <r>
    <d v="2025-11-11T00:00:00"/>
    <x v="1"/>
    <n v="949"/>
    <n v="67"/>
    <n v="109"/>
    <n v="196"/>
    <n v="18565"/>
    <n v="122704"/>
    <x v="3"/>
    <n v="2"/>
    <n v="433"/>
    <n v="12"/>
    <n v="7.115539994613520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5178"/>
    <n v="6.08342989571263"/>
  </r>
  <r>
    <x v="1"/>
    <n v="16326"/>
    <n v="4.6094401073326914"/>
  </r>
  <r>
    <x v="2"/>
    <n v="127510"/>
    <n v="10.302862434922883"/>
  </r>
  <r>
    <x v="3"/>
    <n v="60561"/>
    <n v="9.436421533042477"/>
  </r>
  <r>
    <x v="4"/>
    <n v="49925"/>
    <n v="9.6384576865297937"/>
  </r>
  <r>
    <x v="5"/>
    <n v="239332"/>
    <n v="13.873847761778173"/>
  </r>
  <r>
    <x v="6"/>
    <n v="51038"/>
    <n v="5.93651907896851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8D2038-3B2F-463F-AFCF-8AE08A855B03}"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1" firstHeaderRow="0" firstDataRow="1" firstDataCol="1"/>
  <pivotFields count="3">
    <pivotField dataField="1" subtotalTop="0" showAll="0" defaultSubtotal="0"/>
    <pivotField axis="axisRow" allDrilled="1" showAll="0" dataSourceSort="1" defaultAttributeDrillState="1">
      <items count="8">
        <item x="0"/>
        <item x="1"/>
        <item x="2"/>
        <item x="3"/>
        <item x="4"/>
        <item x="5"/>
        <item x="6"/>
        <item t="default"/>
      </items>
    </pivotField>
    <pivotField dataField="1" subtotalTop="0" showAll="0" defaultSubtotal="0"/>
  </pivotFields>
  <rowFields count="1">
    <field x="1"/>
  </rowFields>
  <rowItems count="8">
    <i>
      <x/>
    </i>
    <i>
      <x v="1"/>
    </i>
    <i>
      <x v="2"/>
    </i>
    <i>
      <x v="3"/>
    </i>
    <i>
      <x v="4"/>
    </i>
    <i>
      <x v="5"/>
    </i>
    <i>
      <x v="6"/>
    </i>
    <i t="grand">
      <x/>
    </i>
  </rowItems>
  <colFields count="1">
    <field x="-2"/>
  </colFields>
  <colItems count="2">
    <i>
      <x/>
    </i>
    <i i="1">
      <x v="1"/>
    </i>
  </colItems>
  <dataFields count="2">
    <dataField name="Sum of Reach" fld="0" baseField="0" baseItem="0"/>
    <dataField name="Average of Engagement Rate" fld="2" subtotal="average" baseField="1" baseItem="0"/>
  </dataFields>
  <formats count="1">
    <format dxfId="4">
      <pivotArea dataOnly="0" labelOnly="1"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Engagement Rate"/>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stagram_Anaytics_Project.xlsx!instagram">
        <x15:activeTabTopLevelEntity name="[instagr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629DB0-149F-4E76-939C-8A898B1EB9D9}" name="PivotTable3"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6" firstHeaderRow="0" firstDataRow="1" firstDataCol="1"/>
  <pivotFields count="13">
    <pivotField numFmtId="14" showAll="0"/>
    <pivotField axis="axisRow" showAll="0">
      <items count="5">
        <item m="1" x="3"/>
        <item m="1" x="2"/>
        <item x="1"/>
        <item x="0"/>
        <item t="default"/>
      </items>
    </pivotField>
    <pivotField showAll="0"/>
    <pivotField showAll="0"/>
    <pivotField showAll="0"/>
    <pivotField showAll="0"/>
    <pivotField dataField="1" showAll="0"/>
    <pivotField showAll="0"/>
    <pivotField showAll="0"/>
    <pivotField showAll="0"/>
    <pivotField showAll="0"/>
    <pivotField showAll="0"/>
    <pivotField dataField="1" showAll="0"/>
  </pivotFields>
  <rowFields count="1">
    <field x="1"/>
  </rowFields>
  <rowItems count="3">
    <i>
      <x v="2"/>
    </i>
    <i>
      <x v="3"/>
    </i>
    <i t="grand">
      <x/>
    </i>
  </rowItems>
  <colFields count="1">
    <field x="-2"/>
  </colFields>
  <colItems count="2">
    <i>
      <x/>
    </i>
    <i i="1">
      <x v="1"/>
    </i>
  </colItems>
  <dataFields count="2">
    <dataField name="Sum of Reach" fld="6" baseField="0" baseItem="0"/>
    <dataField name="Average of Engagement Rate" fld="12" subtotal="average" baseField="1"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B97832-0378-40A3-9A5B-D36D08481D9C}" name="PivotTable4"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1" firstHeaderRow="1" firstDataRow="1" firstDataCol="1"/>
  <pivotFields count="13">
    <pivotField numFmtId="14" showAll="0"/>
    <pivotField showAll="0"/>
    <pivotField showAll="0"/>
    <pivotField showAll="0"/>
    <pivotField showAll="0"/>
    <pivotField showAll="0"/>
    <pivotField showAll="0"/>
    <pivotField showAll="0"/>
    <pivotField axis="axisRow" showAll="0">
      <items count="8">
        <item x="0"/>
        <item x="5"/>
        <item x="3"/>
        <item x="6"/>
        <item x="1"/>
        <item x="2"/>
        <item x="4"/>
        <item t="default"/>
      </items>
    </pivotField>
    <pivotField showAll="0"/>
    <pivotField showAll="0"/>
    <pivotField dataField="1" showAll="0"/>
    <pivotField showAll="0"/>
  </pivotFields>
  <rowFields count="1">
    <field x="8"/>
  </rowFields>
  <rowItems count="8">
    <i>
      <x/>
    </i>
    <i>
      <x v="1"/>
    </i>
    <i>
      <x v="2"/>
    </i>
    <i>
      <x v="3"/>
    </i>
    <i>
      <x v="4"/>
    </i>
    <i>
      <x v="5"/>
    </i>
    <i>
      <x v="6"/>
    </i>
    <i t="grand">
      <x/>
    </i>
  </rowItems>
  <colItems count="1">
    <i/>
  </colItems>
  <dataFields count="1">
    <dataField name="Sum of Follow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4FD59C-B417-48DD-A765-9827C54B5CA7}" name="PivotTable13"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1" firstHeaderRow="0" firstDataRow="1" firstDataCol="1"/>
  <pivotFields count="3">
    <pivotField axis="axisRow" showAll="0" sortType="descending">
      <items count="8">
        <item x="6"/>
        <item x="5"/>
        <item x="4"/>
        <item x="3"/>
        <item x="2"/>
        <item x="1"/>
        <item x="0"/>
        <item t="default"/>
      </items>
    </pivotField>
    <pivotField dataField="1" showAll="0"/>
    <pivotField dataField="1" showAll="0"/>
  </pivotFields>
  <rowFields count="1">
    <field x="0"/>
  </rowFields>
  <rowItems count="8">
    <i>
      <x/>
    </i>
    <i>
      <x v="1"/>
    </i>
    <i>
      <x v="2"/>
    </i>
    <i>
      <x v="3"/>
    </i>
    <i>
      <x v="4"/>
    </i>
    <i>
      <x v="5"/>
    </i>
    <i>
      <x v="6"/>
    </i>
    <i t="grand">
      <x/>
    </i>
  </rowItems>
  <colFields count="1">
    <field x="-2"/>
  </colFields>
  <colItems count="2">
    <i>
      <x/>
    </i>
    <i i="1">
      <x v="1"/>
    </i>
  </colItems>
  <dataFields count="2">
    <dataField name="Sum of Sum of Reach" fld="1" baseField="0" baseItem="0"/>
    <dataField name="Average of Average of Engagement Rate" fld="2" subtotal="average"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CE0222-2421-4EA5-92C0-EE09F9150100}" name="instagram" displayName="instagram" ref="A1:N31" totalsRowShown="0">
  <autoFilter ref="A1:N31" xr:uid="{ABCE0222-2421-4EA5-92C0-EE09F9150100}"/>
  <sortState xmlns:xlrd2="http://schemas.microsoft.com/office/spreadsheetml/2017/richdata2" ref="A2:N31">
    <sortCondition ref="A1:A31"/>
  </sortState>
  <tableColumns count="14">
    <tableColumn id="1" xr3:uid="{8B983E9E-3174-4471-81DB-5D7F8EDCFBE3}" name="Post Date" dataDxfId="3"/>
    <tableColumn id="2" xr3:uid="{AD3B0EC7-3140-4AE0-B01E-4B7CBB7D349D}" name="Post Type"/>
    <tableColumn id="3" xr3:uid="{71F8451D-A82B-453B-A899-87A914532146}" name="Likes"/>
    <tableColumn id="4" xr3:uid="{DD39E342-527A-4A91-AD70-FC5F56E05B8E}" name="Comments"/>
    <tableColumn id="5" xr3:uid="{5026A768-5D33-440C-AAB5-178BFC0F1988}" name="Saves"/>
    <tableColumn id="6" xr3:uid="{B0F791E6-4239-403B-971D-DCCBC842B050}" name="Shares "/>
    <tableColumn id="7" xr3:uid="{B71972EF-02C8-4781-AE0B-AFC9441D0D28}" name="Reach" dataDxfId="2"/>
    <tableColumn id="8" xr3:uid="{96F6BF24-EBB5-4BFF-ADE8-CA78F0E41505}" name="Impressions" dataDxfId="1"/>
    <tableColumn id="9" xr3:uid="{2294B9AE-0673-4448-BB46-1967A3E64937}" name="category"/>
    <tableColumn id="10" xr3:uid="{85C912DE-7A21-44BC-AECB-E8332C1F0396}" name="Reposts"/>
    <tableColumn id="11" xr3:uid="{B5C3E725-C5A6-431F-B4C2-20E140CF0819}" name="Profile Visits"/>
    <tableColumn id="12" xr3:uid="{4BA65170-B4DC-4210-AE32-7BDC2604E1B0}" name="Follows"/>
    <tableColumn id="13" xr3:uid="{8562108D-D13B-455E-A280-F263BFBFE4DD}" name="Engagement Rate">
      <calculatedColumnFormula>(C2+D2+E2+F2)/ G2 *100</calculatedColumnFormula>
    </tableColumn>
    <tableColumn id="14" xr3:uid="{9F0CE59E-05E1-4F10-9958-EBB8356DA0AA}" name="month" dataDxfId="0">
      <calculatedColumnFormula>TEXT(A2,"MMM-YY")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17479-D36F-4F75-8713-6649F782E50E}">
  <dimension ref="A3:C11"/>
  <sheetViews>
    <sheetView tabSelected="1" workbookViewId="0">
      <selection activeCell="J31" sqref="J31"/>
    </sheetView>
  </sheetViews>
  <sheetFormatPr defaultRowHeight="14.5" x14ac:dyDescent="0.35"/>
  <cols>
    <col min="1" max="1" width="12.453125" bestFit="1" customWidth="1"/>
    <col min="2" max="2" width="12.26953125" bestFit="1" customWidth="1"/>
    <col min="3" max="3" width="24.453125" bestFit="1" customWidth="1"/>
  </cols>
  <sheetData>
    <row r="3" spans="1:3" x14ac:dyDescent="0.35">
      <c r="A3" s="3" t="s">
        <v>24</v>
      </c>
      <c r="B3" t="s">
        <v>26</v>
      </c>
      <c r="C3" s="5" t="s">
        <v>27</v>
      </c>
    </row>
    <row r="4" spans="1:3" x14ac:dyDescent="0.35">
      <c r="A4" s="4" t="s">
        <v>13</v>
      </c>
      <c r="B4">
        <v>273140</v>
      </c>
      <c r="C4">
        <v>13.667326300404696</v>
      </c>
    </row>
    <row r="5" spans="1:3" x14ac:dyDescent="0.35">
      <c r="A5" s="4" t="s">
        <v>20</v>
      </c>
      <c r="B5">
        <v>29635</v>
      </c>
      <c r="C5">
        <v>8.4106969780130019</v>
      </c>
    </row>
    <row r="6" spans="1:3" x14ac:dyDescent="0.35">
      <c r="A6" s="4" t="s">
        <v>19</v>
      </c>
      <c r="B6">
        <v>153623</v>
      </c>
      <c r="C6">
        <v>9.376539062713741</v>
      </c>
    </row>
    <row r="7" spans="1:3" x14ac:dyDescent="0.35">
      <c r="A7" s="4" t="s">
        <v>22</v>
      </c>
      <c r="B7">
        <v>12604</v>
      </c>
      <c r="C7">
        <v>10.387887578046236</v>
      </c>
    </row>
    <row r="8" spans="1:3" x14ac:dyDescent="0.35">
      <c r="A8" s="4" t="s">
        <v>16</v>
      </c>
      <c r="B8">
        <v>46880</v>
      </c>
      <c r="C8">
        <v>9.0933983473206723</v>
      </c>
    </row>
    <row r="9" spans="1:3" x14ac:dyDescent="0.35">
      <c r="A9" s="4" t="s">
        <v>15</v>
      </c>
      <c r="B9">
        <v>28221</v>
      </c>
      <c r="C9">
        <v>5.8672580899118953</v>
      </c>
    </row>
    <row r="10" spans="1:3" x14ac:dyDescent="0.35">
      <c r="A10" s="4" t="s">
        <v>17</v>
      </c>
      <c r="B10">
        <v>5767</v>
      </c>
      <c r="C10">
        <v>14.548292006242413</v>
      </c>
    </row>
    <row r="11" spans="1:3" x14ac:dyDescent="0.35">
      <c r="A11" s="4" t="s">
        <v>25</v>
      </c>
      <c r="B11">
        <v>549870</v>
      </c>
      <c r="C11">
        <v>9.6914927391868844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E87A9-CC6F-470D-9F58-13E824656C34}">
  <dimension ref="A3:C6"/>
  <sheetViews>
    <sheetView workbookViewId="0">
      <selection activeCell="G33" sqref="G33"/>
    </sheetView>
  </sheetViews>
  <sheetFormatPr defaultRowHeight="14.5" x14ac:dyDescent="0.35"/>
  <cols>
    <col min="1" max="1" width="12.453125" bestFit="1" customWidth="1"/>
    <col min="2" max="2" width="12.26953125" bestFit="1" customWidth="1"/>
    <col min="3" max="3" width="24.453125" bestFit="1" customWidth="1"/>
  </cols>
  <sheetData>
    <row r="3" spans="1:3" x14ac:dyDescent="0.35">
      <c r="A3" s="3" t="s">
        <v>24</v>
      </c>
      <c r="B3" t="s">
        <v>26</v>
      </c>
      <c r="C3" t="s">
        <v>27</v>
      </c>
    </row>
    <row r="4" spans="1:3" x14ac:dyDescent="0.35">
      <c r="A4" s="4" t="s">
        <v>18</v>
      </c>
      <c r="B4">
        <v>73125</v>
      </c>
      <c r="C4">
        <v>11.570113088254892</v>
      </c>
    </row>
    <row r="5" spans="1:3" x14ac:dyDescent="0.35">
      <c r="A5" s="4" t="s">
        <v>9</v>
      </c>
      <c r="B5">
        <v>476745</v>
      </c>
      <c r="C5">
        <v>8.4390791731415451</v>
      </c>
    </row>
    <row r="6" spans="1:3" x14ac:dyDescent="0.35">
      <c r="A6" s="4" t="s">
        <v>25</v>
      </c>
      <c r="B6">
        <v>549870</v>
      </c>
      <c r="C6">
        <v>9.6914927391868844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8FC57-9CAB-4AA4-9D49-64238EA4B8DE}">
  <dimension ref="A3:B11"/>
  <sheetViews>
    <sheetView workbookViewId="0">
      <selection activeCell="L8" sqref="L8"/>
    </sheetView>
  </sheetViews>
  <sheetFormatPr defaultRowHeight="14.5" x14ac:dyDescent="0.35"/>
  <cols>
    <col min="1" max="1" width="12.453125" bestFit="1" customWidth="1"/>
    <col min="2" max="2" width="13.453125" bestFit="1" customWidth="1"/>
  </cols>
  <sheetData>
    <row r="3" spans="1:2" x14ac:dyDescent="0.35">
      <c r="A3" s="3" t="s">
        <v>24</v>
      </c>
      <c r="B3" t="s">
        <v>28</v>
      </c>
    </row>
    <row r="4" spans="1:2" x14ac:dyDescent="0.35">
      <c r="A4" s="4" t="s">
        <v>13</v>
      </c>
      <c r="B4">
        <v>638</v>
      </c>
    </row>
    <row r="5" spans="1:2" x14ac:dyDescent="0.35">
      <c r="A5" s="4" t="s">
        <v>20</v>
      </c>
      <c r="B5">
        <v>50</v>
      </c>
    </row>
    <row r="6" spans="1:2" x14ac:dyDescent="0.35">
      <c r="A6" s="4" t="s">
        <v>19</v>
      </c>
      <c r="B6">
        <v>745</v>
      </c>
    </row>
    <row r="7" spans="1:2" x14ac:dyDescent="0.35">
      <c r="A7" s="4" t="s">
        <v>22</v>
      </c>
      <c r="B7">
        <v>33</v>
      </c>
    </row>
    <row r="8" spans="1:2" x14ac:dyDescent="0.35">
      <c r="A8" s="4" t="s">
        <v>16</v>
      </c>
      <c r="B8">
        <v>116</v>
      </c>
    </row>
    <row r="9" spans="1:2" x14ac:dyDescent="0.35">
      <c r="A9" s="4" t="s">
        <v>15</v>
      </c>
      <c r="B9">
        <v>29</v>
      </c>
    </row>
    <row r="10" spans="1:2" x14ac:dyDescent="0.35">
      <c r="A10" s="4" t="s">
        <v>17</v>
      </c>
      <c r="B10">
        <v>12</v>
      </c>
    </row>
    <row r="11" spans="1:2" x14ac:dyDescent="0.35">
      <c r="A11" s="4" t="s">
        <v>25</v>
      </c>
      <c r="B11">
        <v>1623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ACE5F-6A63-4866-82E3-CD4A2E0EA3B3}">
  <dimension ref="A3:C11"/>
  <sheetViews>
    <sheetView workbookViewId="0">
      <selection activeCell="H35" sqref="H35"/>
    </sheetView>
  </sheetViews>
  <sheetFormatPr defaultRowHeight="14.5" x14ac:dyDescent="0.35"/>
  <cols>
    <col min="1" max="1" width="12.453125" bestFit="1" customWidth="1"/>
    <col min="2" max="2" width="18.6328125" bestFit="1" customWidth="1"/>
    <col min="3" max="3" width="33.6328125" bestFit="1" customWidth="1"/>
  </cols>
  <sheetData>
    <row r="3" spans="1:3" x14ac:dyDescent="0.35">
      <c r="A3" s="3" t="s">
        <v>24</v>
      </c>
      <c r="B3" t="s">
        <v>57</v>
      </c>
      <c r="C3" t="s">
        <v>58</v>
      </c>
    </row>
    <row r="4" spans="1:3" x14ac:dyDescent="0.35">
      <c r="A4" s="4" t="s">
        <v>56</v>
      </c>
      <c r="B4" s="6">
        <v>51038</v>
      </c>
      <c r="C4" s="6">
        <v>5.9365190789685114</v>
      </c>
    </row>
    <row r="5" spans="1:3" x14ac:dyDescent="0.35">
      <c r="A5" s="4" t="s">
        <v>55</v>
      </c>
      <c r="B5" s="6">
        <v>239332</v>
      </c>
      <c r="C5" s="6">
        <v>13.873847761778173</v>
      </c>
    </row>
    <row r="6" spans="1:3" x14ac:dyDescent="0.35">
      <c r="A6" s="4" t="s">
        <v>54</v>
      </c>
      <c r="B6" s="6">
        <v>49925</v>
      </c>
      <c r="C6" s="6">
        <v>9.6384576865297937</v>
      </c>
    </row>
    <row r="7" spans="1:3" x14ac:dyDescent="0.35">
      <c r="A7" s="4" t="s">
        <v>53</v>
      </c>
      <c r="B7" s="6">
        <v>60561</v>
      </c>
      <c r="C7" s="6">
        <v>9.436421533042477</v>
      </c>
    </row>
    <row r="8" spans="1:3" x14ac:dyDescent="0.35">
      <c r="A8" s="4" t="s">
        <v>52</v>
      </c>
      <c r="B8" s="6">
        <v>127510</v>
      </c>
      <c r="C8" s="6">
        <v>10.302862434922883</v>
      </c>
    </row>
    <row r="9" spans="1:3" x14ac:dyDescent="0.35">
      <c r="A9" s="4" t="s">
        <v>51</v>
      </c>
      <c r="B9" s="6">
        <v>16326</v>
      </c>
      <c r="C9" s="6">
        <v>4.6094401073326914</v>
      </c>
    </row>
    <row r="10" spans="1:3" x14ac:dyDescent="0.35">
      <c r="A10" s="4" t="s">
        <v>50</v>
      </c>
      <c r="B10" s="6">
        <v>5178</v>
      </c>
      <c r="C10" s="6">
        <v>6.08342989571263</v>
      </c>
    </row>
    <row r="11" spans="1:3" x14ac:dyDescent="0.35">
      <c r="A11" s="4" t="s">
        <v>25</v>
      </c>
      <c r="B11" s="6">
        <v>549870</v>
      </c>
      <c r="C11" s="6">
        <v>8.5544254997553075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4E5DB-DE34-4BC5-8277-DCA9E4C763F2}">
  <dimension ref="A1:N31"/>
  <sheetViews>
    <sheetView workbookViewId="0">
      <selection activeCell="A32" sqref="A32"/>
    </sheetView>
  </sheetViews>
  <sheetFormatPr defaultRowHeight="14.5" x14ac:dyDescent="0.35"/>
  <cols>
    <col min="1" max="1" width="12.90625" style="2" customWidth="1"/>
    <col min="2" max="2" width="10.7265625" customWidth="1"/>
    <col min="4" max="4" width="12" customWidth="1"/>
    <col min="6" max="6" width="8.90625" customWidth="1"/>
    <col min="8" max="8" width="13.08984375" customWidth="1"/>
    <col min="9" max="9" width="12.1796875" bestFit="1" customWidth="1"/>
    <col min="10" max="10" width="9.54296875" customWidth="1"/>
    <col min="11" max="11" width="13.26953125" customWidth="1"/>
    <col min="12" max="12" width="9.1796875" customWidth="1"/>
  </cols>
  <sheetData>
    <row r="1" spans="1:14" x14ac:dyDescent="0.35">
      <c r="A1" s="2" t="s">
        <v>0</v>
      </c>
      <c r="B1" t="s">
        <v>1</v>
      </c>
      <c r="C1" t="s">
        <v>2</v>
      </c>
      <c r="D1" t="s">
        <v>3</v>
      </c>
      <c r="E1" t="s">
        <v>4</v>
      </c>
      <c r="F1" t="s">
        <v>5</v>
      </c>
      <c r="G1" t="s">
        <v>6</v>
      </c>
      <c r="H1" t="s">
        <v>7</v>
      </c>
      <c r="I1" t="s">
        <v>8</v>
      </c>
      <c r="J1" t="s">
        <v>10</v>
      </c>
      <c r="K1" t="s">
        <v>11</v>
      </c>
      <c r="L1" t="s">
        <v>12</v>
      </c>
      <c r="M1" t="s">
        <v>23</v>
      </c>
      <c r="N1" t="s">
        <v>49</v>
      </c>
    </row>
    <row r="2" spans="1:14" x14ac:dyDescent="0.35">
      <c r="A2" s="2">
        <v>45972</v>
      </c>
      <c r="B2" t="s">
        <v>18</v>
      </c>
      <c r="C2">
        <v>949</v>
      </c>
      <c r="D2">
        <v>67</v>
      </c>
      <c r="E2">
        <v>109</v>
      </c>
      <c r="F2">
        <v>196</v>
      </c>
      <c r="G2" s="1">
        <v>18565</v>
      </c>
      <c r="H2" s="1">
        <v>122704</v>
      </c>
      <c r="I2" t="s">
        <v>19</v>
      </c>
      <c r="J2">
        <v>2</v>
      </c>
      <c r="K2">
        <v>433</v>
      </c>
      <c r="L2">
        <v>12</v>
      </c>
      <c r="M2">
        <f>(C2+D2+E2+F2)/ G2 *100</f>
        <v>7.1155399946135205</v>
      </c>
      <c r="N2" t="str">
        <f>TEXT(A2,"MMM-YY")</f>
        <v>Nov-25</v>
      </c>
    </row>
    <row r="3" spans="1:14" x14ac:dyDescent="0.35">
      <c r="A3" s="2">
        <v>45977</v>
      </c>
      <c r="B3" t="s">
        <v>9</v>
      </c>
      <c r="C3">
        <v>885</v>
      </c>
      <c r="D3">
        <v>74</v>
      </c>
      <c r="E3">
        <v>101</v>
      </c>
      <c r="F3">
        <v>63</v>
      </c>
      <c r="G3" s="1">
        <v>17751</v>
      </c>
      <c r="H3" s="1">
        <v>27804</v>
      </c>
      <c r="I3" t="s">
        <v>20</v>
      </c>
      <c r="J3">
        <v>3</v>
      </c>
      <c r="K3">
        <v>262</v>
      </c>
      <c r="L3">
        <v>42</v>
      </c>
      <c r="M3">
        <f>(C3+D3+E3+F3)/ G3 *100</f>
        <v>6.3264041462452818</v>
      </c>
      <c r="N3" t="str">
        <f>TEXT(A3,"MMM-YY")</f>
        <v>Nov-25</v>
      </c>
    </row>
    <row r="4" spans="1:14" x14ac:dyDescent="0.35">
      <c r="A4" s="2">
        <v>45990</v>
      </c>
      <c r="B4" t="s">
        <v>9</v>
      </c>
      <c r="C4">
        <v>350</v>
      </c>
      <c r="D4">
        <v>19</v>
      </c>
      <c r="E4">
        <v>196</v>
      </c>
      <c r="F4">
        <v>78</v>
      </c>
      <c r="G4" s="1">
        <v>14722</v>
      </c>
      <c r="H4" s="1">
        <v>22703</v>
      </c>
      <c r="I4" t="s">
        <v>15</v>
      </c>
      <c r="J4">
        <v>6</v>
      </c>
      <c r="K4">
        <v>96</v>
      </c>
      <c r="L4">
        <v>18</v>
      </c>
      <c r="M4">
        <f>(C4+D4+E4+F4)/ G4 *100</f>
        <v>4.3676130960467328</v>
      </c>
      <c r="N4" t="str">
        <f>TEXT(A4,"MMM-YY")</f>
        <v>Nov-25</v>
      </c>
    </row>
    <row r="5" spans="1:14" x14ac:dyDescent="0.35">
      <c r="A5" s="2">
        <v>46003</v>
      </c>
      <c r="B5" t="s">
        <v>9</v>
      </c>
      <c r="C5">
        <v>407</v>
      </c>
      <c r="D5">
        <v>12</v>
      </c>
      <c r="E5">
        <v>54</v>
      </c>
      <c r="F5">
        <v>56</v>
      </c>
      <c r="G5" s="1">
        <v>10730</v>
      </c>
      <c r="H5" s="1">
        <v>16453</v>
      </c>
      <c r="I5" t="s">
        <v>19</v>
      </c>
      <c r="J5">
        <v>13</v>
      </c>
      <c r="K5">
        <v>70</v>
      </c>
      <c r="L5">
        <v>6</v>
      </c>
      <c r="M5">
        <f>(C5+D5+E5+F5)/ G5 *100</f>
        <v>4.9301025163094128</v>
      </c>
      <c r="N5" t="str">
        <f>TEXT(A5,"MMM-YY")</f>
        <v>Dec-25</v>
      </c>
    </row>
    <row r="6" spans="1:14" x14ac:dyDescent="0.35">
      <c r="A6" s="2">
        <v>46022</v>
      </c>
      <c r="B6" t="s">
        <v>9</v>
      </c>
      <c r="C6">
        <v>212</v>
      </c>
      <c r="D6">
        <v>18</v>
      </c>
      <c r="E6">
        <v>0</v>
      </c>
      <c r="F6">
        <v>10</v>
      </c>
      <c r="G6" s="1">
        <v>5596</v>
      </c>
      <c r="H6" s="1">
        <v>9130</v>
      </c>
      <c r="I6" t="s">
        <v>16</v>
      </c>
      <c r="J6">
        <v>0</v>
      </c>
      <c r="K6">
        <v>90</v>
      </c>
      <c r="L6">
        <v>5</v>
      </c>
      <c r="M6">
        <f>(C6+D6+E6+F6)/ G6 *100</f>
        <v>4.2887776983559691</v>
      </c>
      <c r="N6" t="str">
        <f>TEXT(A6,"MMM-YY")</f>
        <v>Dec-25</v>
      </c>
    </row>
    <row r="7" spans="1:14" x14ac:dyDescent="0.35">
      <c r="A7" s="2">
        <v>46025</v>
      </c>
      <c r="B7" t="s">
        <v>18</v>
      </c>
      <c r="C7">
        <v>428</v>
      </c>
      <c r="D7">
        <v>110</v>
      </c>
      <c r="E7">
        <v>31</v>
      </c>
      <c r="F7">
        <v>0</v>
      </c>
      <c r="G7" s="1">
        <v>4349</v>
      </c>
      <c r="H7" s="1">
        <v>15153</v>
      </c>
      <c r="I7" t="s">
        <v>22</v>
      </c>
      <c r="J7">
        <v>0</v>
      </c>
      <c r="K7">
        <v>141</v>
      </c>
      <c r="L7">
        <v>6</v>
      </c>
      <c r="M7">
        <f>(C7+D7+E7+F7)/ G7 *100</f>
        <v>13.083467463784778</v>
      </c>
      <c r="N7" t="str">
        <f>TEXT(A7,"MMM-YY")</f>
        <v>Jan-26</v>
      </c>
    </row>
    <row r="8" spans="1:14" x14ac:dyDescent="0.35">
      <c r="A8" s="2">
        <v>46026</v>
      </c>
      <c r="B8" t="s">
        <v>9</v>
      </c>
      <c r="C8">
        <v>473</v>
      </c>
      <c r="D8">
        <v>61</v>
      </c>
      <c r="E8">
        <v>45</v>
      </c>
      <c r="F8">
        <v>56</v>
      </c>
      <c r="G8" s="1">
        <v>8255</v>
      </c>
      <c r="H8" s="1">
        <v>13276</v>
      </c>
      <c r="I8" t="s">
        <v>22</v>
      </c>
      <c r="J8">
        <v>1</v>
      </c>
      <c r="K8">
        <v>371</v>
      </c>
      <c r="L8">
        <v>27</v>
      </c>
      <c r="M8">
        <f>(C8+D8+E8+F8)/ G8 *100</f>
        <v>7.6923076923076925</v>
      </c>
      <c r="N8" t="str">
        <f>TEXT(A8,"MMM-YY")</f>
        <v>Jan-26</v>
      </c>
    </row>
    <row r="9" spans="1:14" x14ac:dyDescent="0.35">
      <c r="A9" s="2">
        <v>46027</v>
      </c>
      <c r="B9" t="s">
        <v>18</v>
      </c>
      <c r="C9">
        <v>481</v>
      </c>
      <c r="D9">
        <v>78</v>
      </c>
      <c r="E9">
        <v>46</v>
      </c>
      <c r="F9">
        <v>0</v>
      </c>
      <c r="G9" s="1">
        <v>4365</v>
      </c>
      <c r="H9" s="1">
        <v>13094</v>
      </c>
      <c r="I9" t="s">
        <v>19</v>
      </c>
      <c r="J9">
        <v>2</v>
      </c>
      <c r="K9">
        <v>134</v>
      </c>
      <c r="L9">
        <v>21</v>
      </c>
      <c r="M9">
        <f>(C9+D9+E9+F9)/ G9 *100</f>
        <v>13.860252004581902</v>
      </c>
      <c r="N9" t="str">
        <f>TEXT(A9,"MMM-YY")</f>
        <v>Jan-26</v>
      </c>
    </row>
    <row r="10" spans="1:14" x14ac:dyDescent="0.35">
      <c r="A10" s="2">
        <v>46028</v>
      </c>
      <c r="B10" t="s">
        <v>9</v>
      </c>
      <c r="C10">
        <v>294</v>
      </c>
      <c r="D10">
        <v>44</v>
      </c>
      <c r="E10">
        <v>13</v>
      </c>
      <c r="F10">
        <v>5</v>
      </c>
      <c r="G10" s="1">
        <v>5894</v>
      </c>
      <c r="H10" s="1">
        <v>9927</v>
      </c>
      <c r="I10" t="s">
        <v>16</v>
      </c>
      <c r="J10">
        <v>0</v>
      </c>
      <c r="K10">
        <v>70</v>
      </c>
      <c r="L10">
        <v>7</v>
      </c>
      <c r="M10">
        <f>(C10+D10+E10+F10)/ G10 *100</f>
        <v>6.0400407193756358</v>
      </c>
      <c r="N10" t="str">
        <f>TEXT(A10,"MMM-YY")</f>
        <v>Jan-26</v>
      </c>
    </row>
    <row r="11" spans="1:14" x14ac:dyDescent="0.35">
      <c r="A11" s="2">
        <v>46030</v>
      </c>
      <c r="B11" t="s">
        <v>18</v>
      </c>
      <c r="C11">
        <v>437</v>
      </c>
      <c r="D11">
        <v>73</v>
      </c>
      <c r="E11">
        <v>31</v>
      </c>
      <c r="F11">
        <v>20</v>
      </c>
      <c r="G11" s="1">
        <v>4487</v>
      </c>
      <c r="H11" s="1">
        <v>11578</v>
      </c>
      <c r="I11" t="s">
        <v>19</v>
      </c>
      <c r="J11">
        <v>0</v>
      </c>
      <c r="K11">
        <v>138</v>
      </c>
      <c r="L11">
        <v>8</v>
      </c>
      <c r="M11">
        <f>(C11+D11+E11+F11)/ G11 *100</f>
        <v>12.502785825718743</v>
      </c>
      <c r="N11" t="str">
        <f>TEXT(A11,"MMM-YY")</f>
        <v>Jan-26</v>
      </c>
    </row>
    <row r="12" spans="1:14" x14ac:dyDescent="0.35">
      <c r="A12" s="2">
        <v>46031</v>
      </c>
      <c r="B12" t="s">
        <v>18</v>
      </c>
      <c r="C12">
        <v>249</v>
      </c>
      <c r="D12">
        <v>28</v>
      </c>
      <c r="E12">
        <v>14</v>
      </c>
      <c r="F12">
        <v>2</v>
      </c>
      <c r="G12" s="1">
        <v>2884</v>
      </c>
      <c r="H12" s="1">
        <v>7811</v>
      </c>
      <c r="I12" t="s">
        <v>19</v>
      </c>
      <c r="J12">
        <v>1</v>
      </c>
      <c r="K12">
        <v>55</v>
      </c>
      <c r="L12">
        <v>1</v>
      </c>
      <c r="M12">
        <f>(C12+D12+E12+F12)/ G12 *100</f>
        <v>10.159500693481275</v>
      </c>
      <c r="N12" t="str">
        <f>TEXT(A12,"MMM-YY")</f>
        <v>Jan-26</v>
      </c>
    </row>
    <row r="13" spans="1:14" x14ac:dyDescent="0.35">
      <c r="A13" s="2">
        <v>46033</v>
      </c>
      <c r="B13" t="s">
        <v>9</v>
      </c>
      <c r="C13">
        <v>241</v>
      </c>
      <c r="D13">
        <v>44</v>
      </c>
      <c r="E13">
        <v>26</v>
      </c>
      <c r="F13">
        <v>7</v>
      </c>
      <c r="G13" s="1">
        <v>4399</v>
      </c>
      <c r="H13" s="1">
        <v>6265</v>
      </c>
      <c r="I13" t="s">
        <v>16</v>
      </c>
      <c r="J13">
        <v>0</v>
      </c>
      <c r="K13">
        <v>88</v>
      </c>
      <c r="L13">
        <v>5</v>
      </c>
      <c r="M13">
        <f>(C13+D13+E13+F13)/ G13 *100</f>
        <v>7.2289156626506017</v>
      </c>
      <c r="N13" t="str">
        <f>TEXT(A13,"MMM-YY")</f>
        <v>Jan-26</v>
      </c>
    </row>
    <row r="14" spans="1:14" x14ac:dyDescent="0.35">
      <c r="A14" s="2">
        <v>46034</v>
      </c>
      <c r="B14" t="s">
        <v>9</v>
      </c>
      <c r="C14">
        <v>501</v>
      </c>
      <c r="D14">
        <v>72</v>
      </c>
      <c r="E14">
        <v>49</v>
      </c>
      <c r="F14">
        <v>24</v>
      </c>
      <c r="G14" s="1">
        <v>6655</v>
      </c>
      <c r="H14" s="1">
        <v>11629</v>
      </c>
      <c r="I14" t="s">
        <v>20</v>
      </c>
      <c r="J14">
        <v>1</v>
      </c>
      <c r="K14">
        <v>108</v>
      </c>
      <c r="L14">
        <v>4</v>
      </c>
      <c r="M14">
        <f>(C14+D14+E14+F14)/ G14 *100</f>
        <v>9.7069872276483853</v>
      </c>
      <c r="N14" t="str">
        <f>TEXT(A14,"MMM-YY")</f>
        <v>Jan-26</v>
      </c>
    </row>
    <row r="15" spans="1:14" x14ac:dyDescent="0.35">
      <c r="A15" s="2">
        <v>46036</v>
      </c>
      <c r="B15" t="s">
        <v>18</v>
      </c>
      <c r="C15">
        <v>424</v>
      </c>
      <c r="D15">
        <v>36</v>
      </c>
      <c r="E15">
        <v>19</v>
      </c>
      <c r="F15">
        <v>2</v>
      </c>
      <c r="G15" s="1">
        <v>5229</v>
      </c>
      <c r="H15" s="1">
        <v>9153</v>
      </c>
      <c r="I15" t="s">
        <v>20</v>
      </c>
      <c r="J15">
        <v>1</v>
      </c>
      <c r="K15">
        <v>92</v>
      </c>
      <c r="L15">
        <v>4</v>
      </c>
      <c r="M15">
        <f>(C15+D15+E15+F15)/ G15 *100</f>
        <v>9.198699560145343</v>
      </c>
      <c r="N15" t="str">
        <f>TEXT(A15,"MMM-YY")</f>
        <v>Jan-26</v>
      </c>
    </row>
    <row r="16" spans="1:14" x14ac:dyDescent="0.35">
      <c r="A16" s="2">
        <v>46040</v>
      </c>
      <c r="B16" t="s">
        <v>9</v>
      </c>
      <c r="C16">
        <v>177</v>
      </c>
      <c r="D16">
        <v>37</v>
      </c>
      <c r="E16">
        <v>15</v>
      </c>
      <c r="F16">
        <v>6</v>
      </c>
      <c r="G16" s="1">
        <v>4434</v>
      </c>
      <c r="H16" s="1">
        <v>7444</v>
      </c>
      <c r="I16" t="s">
        <v>15</v>
      </c>
      <c r="J16">
        <v>0</v>
      </c>
      <c r="K16">
        <v>77</v>
      </c>
      <c r="L16">
        <v>5</v>
      </c>
      <c r="M16">
        <f>(C16+D16+E16+F16)/ G16 *100</f>
        <v>5.2999548940009023</v>
      </c>
      <c r="N16" t="str">
        <f>TEXT(A16,"MMM-YY")</f>
        <v>Jan-26</v>
      </c>
    </row>
    <row r="17" spans="1:14" x14ac:dyDescent="0.35">
      <c r="A17" s="2">
        <v>46042</v>
      </c>
      <c r="B17" t="s">
        <v>18</v>
      </c>
      <c r="C17">
        <v>468</v>
      </c>
      <c r="D17">
        <v>66</v>
      </c>
      <c r="E17">
        <v>71</v>
      </c>
      <c r="F17">
        <v>10</v>
      </c>
      <c r="G17" s="1">
        <v>5723</v>
      </c>
      <c r="H17" s="1">
        <v>13679</v>
      </c>
      <c r="I17" t="s">
        <v>16</v>
      </c>
      <c r="J17">
        <v>0</v>
      </c>
      <c r="K17">
        <v>351</v>
      </c>
      <c r="L17">
        <v>60</v>
      </c>
      <c r="M17">
        <f>(C17+D17+E17+F17)/ G17 *100</f>
        <v>10.746112178927136</v>
      </c>
      <c r="N17" t="str">
        <f>TEXT(A17,"MMM-YY")</f>
        <v>Jan-26</v>
      </c>
    </row>
    <row r="18" spans="1:14" x14ac:dyDescent="0.35">
      <c r="A18" s="2">
        <v>46044</v>
      </c>
      <c r="B18" t="s">
        <v>9</v>
      </c>
      <c r="C18">
        <v>202</v>
      </c>
      <c r="D18">
        <v>61</v>
      </c>
      <c r="E18">
        <v>28</v>
      </c>
      <c r="F18">
        <v>9</v>
      </c>
      <c r="G18" s="1">
        <v>3887</v>
      </c>
      <c r="H18" s="1">
        <v>6345</v>
      </c>
      <c r="I18" t="s">
        <v>15</v>
      </c>
      <c r="J18">
        <v>0</v>
      </c>
      <c r="K18">
        <v>75</v>
      </c>
      <c r="L18">
        <v>5</v>
      </c>
      <c r="M18">
        <f>(C18+D18+E18+F18)/ G18 *100</f>
        <v>7.7180344738873172</v>
      </c>
      <c r="N18" t="str">
        <f>TEXT(A18,"MMM-YY")</f>
        <v>Jan-26</v>
      </c>
    </row>
    <row r="19" spans="1:14" x14ac:dyDescent="0.35">
      <c r="A19" s="2">
        <v>46054</v>
      </c>
      <c r="B19" t="s">
        <v>9</v>
      </c>
      <c r="C19">
        <v>383</v>
      </c>
      <c r="D19">
        <v>66</v>
      </c>
      <c r="E19">
        <v>14</v>
      </c>
      <c r="F19">
        <v>17</v>
      </c>
      <c r="G19" s="1">
        <v>6379</v>
      </c>
      <c r="H19" s="1">
        <v>9904</v>
      </c>
      <c r="I19" t="s">
        <v>16</v>
      </c>
      <c r="J19">
        <v>1</v>
      </c>
      <c r="K19">
        <v>134</v>
      </c>
      <c r="L19">
        <v>9</v>
      </c>
      <c r="M19">
        <f>(C19+D19+E19+F19)/ G19 *100</f>
        <v>7.5246903903433138</v>
      </c>
      <c r="N19" t="str">
        <f>TEXT(A19,"MMM-YY")</f>
        <v>Feb-26</v>
      </c>
    </row>
    <row r="20" spans="1:14" x14ac:dyDescent="0.35">
      <c r="A20" s="2">
        <v>46058</v>
      </c>
      <c r="B20" t="s">
        <v>18</v>
      </c>
      <c r="C20">
        <v>269</v>
      </c>
      <c r="D20">
        <v>29</v>
      </c>
      <c r="E20">
        <v>8</v>
      </c>
      <c r="F20">
        <v>1</v>
      </c>
      <c r="G20" s="1">
        <v>2867</v>
      </c>
      <c r="H20" s="1">
        <v>6681</v>
      </c>
      <c r="I20" t="s">
        <v>19</v>
      </c>
      <c r="J20">
        <v>0</v>
      </c>
      <c r="K20">
        <v>49</v>
      </c>
      <c r="L20">
        <v>4</v>
      </c>
      <c r="M20">
        <f>(C20+D20+E20+F20)/ G20 *100</f>
        <v>10.708057202650854</v>
      </c>
      <c r="N20" t="str">
        <f>TEXT(A20,"MMM-YY")</f>
        <v>Feb-26</v>
      </c>
    </row>
    <row r="21" spans="1:14" x14ac:dyDescent="0.35">
      <c r="A21" s="2">
        <v>46063</v>
      </c>
      <c r="B21" t="s">
        <v>18</v>
      </c>
      <c r="C21">
        <v>274</v>
      </c>
      <c r="D21">
        <v>48</v>
      </c>
      <c r="E21">
        <v>11</v>
      </c>
      <c r="F21">
        <v>10</v>
      </c>
      <c r="G21" s="1">
        <v>2772</v>
      </c>
      <c r="H21" s="1">
        <v>7575</v>
      </c>
      <c r="I21" t="s">
        <v>16</v>
      </c>
      <c r="J21">
        <v>0</v>
      </c>
      <c r="K21">
        <v>45</v>
      </c>
      <c r="L21">
        <v>4</v>
      </c>
      <c r="M21">
        <f>(C21+D21+E21+F21)/ G21 *100</f>
        <v>12.373737373737374</v>
      </c>
      <c r="N21" t="str">
        <f>TEXT(A21,"MMM-YY")</f>
        <v>Feb-26</v>
      </c>
    </row>
    <row r="22" spans="1:14" x14ac:dyDescent="0.35">
      <c r="A22" s="2">
        <v>46067</v>
      </c>
      <c r="B22" t="s">
        <v>18</v>
      </c>
      <c r="C22">
        <v>665</v>
      </c>
      <c r="D22">
        <v>100</v>
      </c>
      <c r="E22">
        <v>45</v>
      </c>
      <c r="F22">
        <v>29</v>
      </c>
      <c r="G22" s="1">
        <v>5767</v>
      </c>
      <c r="H22" s="1">
        <v>17234</v>
      </c>
      <c r="I22" t="s">
        <v>17</v>
      </c>
      <c r="J22">
        <v>1</v>
      </c>
      <c r="K22">
        <v>172</v>
      </c>
      <c r="L22">
        <v>12</v>
      </c>
      <c r="M22">
        <f>(C22+D22+E22+F22)/ G22 *100</f>
        <v>14.548292006242413</v>
      </c>
      <c r="N22" t="str">
        <f>TEXT(A22,"MMM-YY")</f>
        <v>Feb-26</v>
      </c>
    </row>
    <row r="23" spans="1:14" x14ac:dyDescent="0.35">
      <c r="A23" s="2">
        <v>46073</v>
      </c>
      <c r="B23" t="s">
        <v>21</v>
      </c>
      <c r="C23">
        <v>4900</v>
      </c>
      <c r="D23">
        <v>1500</v>
      </c>
      <c r="E23">
        <v>397</v>
      </c>
      <c r="F23">
        <v>181</v>
      </c>
      <c r="G23" s="1">
        <v>109725</v>
      </c>
      <c r="H23" s="1">
        <v>204666</v>
      </c>
      <c r="I23" t="s">
        <v>19</v>
      </c>
      <c r="J23">
        <v>12</v>
      </c>
      <c r="K23">
        <v>8385</v>
      </c>
      <c r="L23">
        <v>693</v>
      </c>
      <c r="M23">
        <f>(C23+D23+E23+F23)/ G23 *100</f>
        <v>6.3595352016404654</v>
      </c>
      <c r="N23" t="str">
        <f>TEXT(A23,"MMM-YY")</f>
        <v>Feb-26</v>
      </c>
    </row>
    <row r="24" spans="1:14" x14ac:dyDescent="0.35">
      <c r="A24" s="2">
        <v>46124</v>
      </c>
      <c r="B24" t="s">
        <v>9</v>
      </c>
      <c r="C24">
        <v>240</v>
      </c>
      <c r="D24">
        <v>60</v>
      </c>
      <c r="E24">
        <v>14</v>
      </c>
      <c r="F24">
        <v>1</v>
      </c>
      <c r="G24" s="1">
        <v>5178</v>
      </c>
      <c r="H24" s="1">
        <v>8819</v>
      </c>
      <c r="I24" t="s">
        <v>15</v>
      </c>
      <c r="J24">
        <v>1</v>
      </c>
      <c r="K24">
        <v>120</v>
      </c>
      <c r="L24">
        <v>1</v>
      </c>
      <c r="M24">
        <f>(C24+D24+E24+F24)/ G24 *100</f>
        <v>6.08342989571263</v>
      </c>
      <c r="N24" t="str">
        <f>TEXT(A24,"MMM-YY")</f>
        <v>Apr-26</v>
      </c>
    </row>
    <row r="25" spans="1:14" x14ac:dyDescent="0.35">
      <c r="A25" s="2">
        <v>46170</v>
      </c>
      <c r="B25" t="s">
        <v>9</v>
      </c>
      <c r="C25">
        <v>561</v>
      </c>
      <c r="D25">
        <v>97</v>
      </c>
      <c r="E25">
        <v>40</v>
      </c>
      <c r="F25">
        <v>22</v>
      </c>
      <c r="G25" s="1">
        <v>7425</v>
      </c>
      <c r="H25" s="1">
        <v>10570</v>
      </c>
      <c r="I25" t="s">
        <v>14</v>
      </c>
      <c r="J25">
        <v>6</v>
      </c>
      <c r="K25">
        <v>180</v>
      </c>
      <c r="L25">
        <v>8</v>
      </c>
      <c r="M25">
        <f>(C25+D25+E25+F25)/ G25 *100</f>
        <v>9.6969696969696972</v>
      </c>
      <c r="N25" t="str">
        <f>TEXT(A25,"MMM-YY")</f>
        <v>May-26</v>
      </c>
    </row>
    <row r="26" spans="1:14" x14ac:dyDescent="0.35">
      <c r="A26" s="2">
        <v>46170</v>
      </c>
      <c r="B26" t="s">
        <v>18</v>
      </c>
      <c r="C26">
        <v>856</v>
      </c>
      <c r="D26">
        <v>78</v>
      </c>
      <c r="E26">
        <v>123</v>
      </c>
      <c r="F26">
        <v>86</v>
      </c>
      <c r="G26" s="1">
        <v>8115</v>
      </c>
      <c r="H26" s="1">
        <v>13188</v>
      </c>
      <c r="I26" t="s">
        <v>16</v>
      </c>
      <c r="J26">
        <v>7</v>
      </c>
      <c r="K26">
        <v>216</v>
      </c>
      <c r="L26">
        <v>19</v>
      </c>
      <c r="M26">
        <f>(C26+D26+E26+F26)/ G26 *100</f>
        <v>14.085027726432534</v>
      </c>
      <c r="N26" t="str">
        <f>TEXT(A26,"MMM-YY")</f>
        <v>May-26</v>
      </c>
    </row>
    <row r="27" spans="1:14" x14ac:dyDescent="0.35">
      <c r="A27" s="2">
        <v>46172</v>
      </c>
      <c r="B27" t="s">
        <v>9</v>
      </c>
      <c r="C27">
        <v>4500</v>
      </c>
      <c r="D27">
        <v>60</v>
      </c>
      <c r="E27">
        <v>1600</v>
      </c>
      <c r="F27">
        <v>1107</v>
      </c>
      <c r="G27" s="1">
        <v>63345</v>
      </c>
      <c r="H27" s="1">
        <v>81840</v>
      </c>
      <c r="I27" t="s">
        <v>14</v>
      </c>
      <c r="J27">
        <v>27</v>
      </c>
      <c r="K27">
        <v>1317</v>
      </c>
      <c r="L27">
        <v>152</v>
      </c>
      <c r="M27">
        <f>(C27+D27+E27+F27)/ G27 *100</f>
        <v>11.472097245244298</v>
      </c>
      <c r="N27" t="str">
        <f>TEXT(A27,"MMM-YY")</f>
        <v>May-26</v>
      </c>
    </row>
    <row r="28" spans="1:14" x14ac:dyDescent="0.35">
      <c r="A28" s="2">
        <v>46172</v>
      </c>
      <c r="B28" t="s">
        <v>18</v>
      </c>
      <c r="C28">
        <v>687</v>
      </c>
      <c r="D28">
        <v>54</v>
      </c>
      <c r="E28">
        <v>72</v>
      </c>
      <c r="F28">
        <v>24</v>
      </c>
      <c r="G28" s="1">
        <v>8002</v>
      </c>
      <c r="H28" s="1">
        <v>15660</v>
      </c>
      <c r="I28" t="s">
        <v>16</v>
      </c>
      <c r="J28">
        <v>2</v>
      </c>
      <c r="K28">
        <v>193</v>
      </c>
      <c r="L28">
        <v>7</v>
      </c>
      <c r="M28">
        <f>(C28+D28+E28+F28)/ G28 *100</f>
        <v>10.459885028742814</v>
      </c>
      <c r="N28" t="str">
        <f>TEXT(A28,"MMM-YY")</f>
        <v>May-26</v>
      </c>
    </row>
    <row r="29" spans="1:14" x14ac:dyDescent="0.35">
      <c r="A29" s="2">
        <v>46173</v>
      </c>
      <c r="B29" t="s">
        <v>9</v>
      </c>
      <c r="C29">
        <v>7500</v>
      </c>
      <c r="D29">
        <v>54</v>
      </c>
      <c r="E29">
        <v>688</v>
      </c>
      <c r="F29">
        <v>557</v>
      </c>
      <c r="G29">
        <v>51440</v>
      </c>
      <c r="H29">
        <v>63175</v>
      </c>
      <c r="I29" t="s">
        <v>14</v>
      </c>
      <c r="J29">
        <v>47</v>
      </c>
      <c r="K29">
        <v>549</v>
      </c>
      <c r="L29">
        <v>88</v>
      </c>
      <c r="M29">
        <f>(C29+D29+E29+F29)/ G29 *100</f>
        <v>17.105365474339035</v>
      </c>
      <c r="N29" t="str">
        <f>TEXT(A29,"MMM-YY")</f>
        <v>May-26</v>
      </c>
    </row>
    <row r="30" spans="1:14" x14ac:dyDescent="0.35">
      <c r="A30" s="2">
        <v>46173</v>
      </c>
      <c r="B30" t="s">
        <v>9</v>
      </c>
      <c r="C30">
        <v>17000</v>
      </c>
      <c r="D30">
        <v>46</v>
      </c>
      <c r="E30">
        <v>1900</v>
      </c>
      <c r="F30">
        <v>1683</v>
      </c>
      <c r="G30">
        <v>101005</v>
      </c>
      <c r="H30" s="1">
        <v>119695</v>
      </c>
      <c r="I30" t="s">
        <v>14</v>
      </c>
      <c r="J30">
        <v>131</v>
      </c>
      <c r="K30">
        <v>1411</v>
      </c>
      <c r="L30">
        <v>320</v>
      </c>
      <c r="M30">
        <f>(C30+D30+E30+F30)/ G30 *100</f>
        <v>20.423741398940646</v>
      </c>
      <c r="N30" t="str">
        <f>TEXT(A30,"MMM-YY")</f>
        <v>May-26</v>
      </c>
    </row>
    <row r="31" spans="1:14" x14ac:dyDescent="0.35">
      <c r="A31" s="2">
        <v>46174</v>
      </c>
      <c r="B31" t="s">
        <v>9</v>
      </c>
      <c r="C31">
        <v>3500</v>
      </c>
      <c r="D31">
        <v>12</v>
      </c>
      <c r="E31">
        <v>837</v>
      </c>
      <c r="F31">
        <v>463</v>
      </c>
      <c r="G31" s="1">
        <v>49925</v>
      </c>
      <c r="H31">
        <v>56941</v>
      </c>
      <c r="I31" t="s">
        <v>13</v>
      </c>
      <c r="J31">
        <v>55</v>
      </c>
      <c r="K31">
        <v>635</v>
      </c>
      <c r="L31">
        <v>70</v>
      </c>
      <c r="M31">
        <f>(C31+D31+E31+F31)/ G31 *100</f>
        <v>9.6384576865297937</v>
      </c>
      <c r="N31" t="str">
        <f>TEXT(A31,"MMM-YY")</f>
        <v>Jun-26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F354D-B00A-4AEF-A4B4-A241DC6EF787}">
  <dimension ref="A1"/>
  <sheetViews>
    <sheetView workbookViewId="0">
      <selection activeCell="H23" sqref="H23"/>
    </sheetView>
  </sheetViews>
  <sheetFormatPr defaultRowHeight="14.5" x14ac:dyDescent="0.35"/>
  <cols>
    <col min="1" max="1" width="17.90625" bestFit="1" customWidth="1"/>
    <col min="2" max="2" width="10.90625" bestFit="1" customWidth="1"/>
    <col min="3" max="3" width="17.81640625" bestFit="1" customWidth="1"/>
    <col min="4" max="4" width="12.08984375" bestFit="1" customWidth="1"/>
    <col min="5" max="5" width="12.54296875" bestFit="1" customWidth="1"/>
    <col min="6" max="6" width="17.90625" bestFit="1" customWidth="1"/>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9FD15-B665-43F5-85B0-9F2C2637273B}">
  <dimension ref="A1:C11"/>
  <sheetViews>
    <sheetView workbookViewId="0">
      <selection activeCell="I21" sqref="I21"/>
    </sheetView>
  </sheetViews>
  <sheetFormatPr defaultRowHeight="14.5" x14ac:dyDescent="0.35"/>
  <cols>
    <col min="1" max="1" width="36.1796875" bestFit="1" customWidth="1"/>
    <col min="2" max="2" width="42.36328125" bestFit="1" customWidth="1"/>
    <col min="3" max="3" width="14.36328125" bestFit="1" customWidth="1"/>
  </cols>
  <sheetData>
    <row r="1" spans="1:3" x14ac:dyDescent="0.35">
      <c r="A1" t="s">
        <v>29</v>
      </c>
      <c r="B1" t="s">
        <v>30</v>
      </c>
      <c r="C1" t="s">
        <v>31</v>
      </c>
    </row>
    <row r="2" spans="1:3" x14ac:dyDescent="0.35">
      <c r="A2" t="s">
        <v>32</v>
      </c>
      <c r="B2" t="s">
        <v>37</v>
      </c>
      <c r="C2" t="s">
        <v>42</v>
      </c>
    </row>
    <row r="3" spans="1:3" x14ac:dyDescent="0.35">
      <c r="A3" t="s">
        <v>33</v>
      </c>
      <c r="B3" t="s">
        <v>38</v>
      </c>
      <c r="C3" t="s">
        <v>43</v>
      </c>
    </row>
    <row r="4" spans="1:3" x14ac:dyDescent="0.35">
      <c r="A4" t="s">
        <v>34</v>
      </c>
      <c r="B4" t="s">
        <v>39</v>
      </c>
      <c r="C4" t="s">
        <v>44</v>
      </c>
    </row>
    <row r="5" spans="1:3" x14ac:dyDescent="0.35">
      <c r="A5" t="s">
        <v>35</v>
      </c>
      <c r="B5" t="s">
        <v>40</v>
      </c>
      <c r="C5" t="s">
        <v>45</v>
      </c>
    </row>
    <row r="6" spans="1:3" x14ac:dyDescent="0.35">
      <c r="A6" t="s">
        <v>36</v>
      </c>
      <c r="B6" t="s">
        <v>41</v>
      </c>
      <c r="C6" t="s">
        <v>46</v>
      </c>
    </row>
    <row r="10" spans="1:3" x14ac:dyDescent="0.35">
      <c r="A10" t="s">
        <v>47</v>
      </c>
    </row>
    <row r="11" spans="1:3" x14ac:dyDescent="0.35">
      <c r="A1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performancy by category</vt:lpstr>
      <vt:lpstr>Reels vs Carousel</vt:lpstr>
      <vt:lpstr>followers gained</vt:lpstr>
      <vt:lpstr>monthly reach</vt:lpstr>
      <vt:lpstr>Data</vt:lpstr>
      <vt:lpstr>Dashboard</vt:lpstr>
      <vt:lpstr>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fatima hassan</dc:creator>
  <cp:lastModifiedBy>Hassan Haider</cp:lastModifiedBy>
  <dcterms:created xsi:type="dcterms:W3CDTF">2026-06-25T14:06:30Z</dcterms:created>
  <dcterms:modified xsi:type="dcterms:W3CDTF">2026-06-26T19:23:08Z</dcterms:modified>
</cp:coreProperties>
</file>